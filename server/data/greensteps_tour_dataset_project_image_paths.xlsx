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tables/table20.xml" ContentType="application/vnd.openxmlformats-officedocument.spreadsheetml.table+xml"/>
  <Override PartName="/xl/worksheets/sheet23.xml" ContentType="application/vnd.openxmlformats-officedocument.spreadsheetml.worksheet+xml"/>
  <Override PartName="/xl/tables/table21.xml" ContentType="application/vnd.openxmlformats-officedocument.spreadsheetml.table+xml"/>
  <Override PartName="/xl/worksheets/sheet24.xml" ContentType="application/vnd.openxmlformats-officedocument.spreadsheetml.worksheet+xml"/>
  <Override PartName="/xl/tables/table22.xml" ContentType="application/vnd.openxmlformats-officedocument.spreadsheetml.table+xml"/>
  <Override PartName="/xl/worksheets/sheet25.xml" ContentType="application/vnd.openxmlformats-officedocument.spreadsheetml.worksheet+xml"/>
  <Override PartName="/xl/tables/table23.xml" ContentType="application/vnd.openxmlformats-officedocument.spreadsheetml.table+xml"/>
  <Override PartName="/xl/worksheets/sheet26.xml" ContentType="application/vnd.openxmlformats-officedocument.spreadsheetml.worksheet+xml"/>
  <Override PartName="/xl/tables/table24.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9fdb92e7627477a" /></Relationships>
</file>

<file path=xl/workbook.xml><?xml version="1.0" encoding="utf-8"?>
<x:workbook xmlns:x="http://schemas.openxmlformats.org/spreadsheetml/2006/main">
  <x:sheets>
    <x:sheet xmlns:r="http://schemas.openxmlformats.org/officeDocument/2006/relationships" name="README_Dashboard" sheetId="1" r:id="Reb82586ec71e45b6"/>
    <x:sheet xmlns:r="http://schemas.openxmlformats.org/officeDocument/2006/relationships" name="Badge" sheetId="2" r:id="R4feb65eebfe04747"/>
    <x:sheet xmlns:r="http://schemas.openxmlformats.org/officeDocument/2006/relationships" name="Contract" sheetId="3" r:id="Rc71769dcbd4a4b53"/>
    <x:sheet xmlns:r="http://schemas.openxmlformats.org/officeDocument/2006/relationships" name="User" sheetId="4" r:id="R5ca2a249415a4d63"/>
    <x:sheet xmlns:r="http://schemas.openxmlformats.org/officeDocument/2006/relationships" name="Vender" sheetId="5" r:id="Rb07535ad35a74c4d"/>
    <x:sheet xmlns:r="http://schemas.openxmlformats.org/officeDocument/2006/relationships" name="Provider" sheetId="6" r:id="R06fe65d889124b8c"/>
    <x:sheet xmlns:r="http://schemas.openxmlformats.org/officeDocument/2006/relationships" name="Schedule" sheetId="7" r:id="Raeac680e19074206"/>
    <x:sheet xmlns:r="http://schemas.openxmlformats.org/officeDocument/2006/relationships" name="ScheduleSample" sheetId="8" r:id="Rbd2cb3b81c9548d5"/>
    <x:sheet xmlns:r="http://schemas.openxmlformats.org/officeDocument/2006/relationships" name="GreenService" sheetId="9" r:id="R61e6b3a51bfb4ed0"/>
    <x:sheet xmlns:r="http://schemas.openxmlformats.org/officeDocument/2006/relationships" name="ScheduleActivity" sheetId="10" r:id="R396468ca962443eb"/>
    <x:sheet xmlns:r="http://schemas.openxmlformats.org/officeDocument/2006/relationships" name="BadgeSchedule" sheetId="11" r:id="R04de65d1a95c4f8e"/>
    <x:sheet xmlns:r="http://schemas.openxmlformats.org/officeDocument/2006/relationships" name="BadgeService" sheetId="12" r:id="Rad857f3b4e074713"/>
    <x:sheet xmlns:r="http://schemas.openxmlformats.org/officeDocument/2006/relationships" name="TourBooking_Mock" sheetId="13" r:id="R9fc46126ed41488f"/>
    <x:sheet xmlns:r="http://schemas.openxmlformats.org/officeDocument/2006/relationships" name="ImageSources" sheetId="14" r:id="R18364910f42041be"/>
    <x:sheet xmlns:r="http://schemas.openxmlformats.org/officeDocument/2006/relationships" name="DataDictionary" sheetId="15" r:id="Rbb47df3ea1314e20"/>
    <x:sheet xmlns:r="http://schemas.openxmlformats.org/officeDocument/2006/relationships" name="Carbon_Sources" sheetId="16" r:id="R136e3941a51b40b1"/>
    <x:sheet xmlns:r="http://schemas.openxmlformats.org/officeDocument/2006/relationships" name="Carbon_Assumptions" sheetId="17" r:id="R190ebf48578542ff"/>
    <x:sheet xmlns:r="http://schemas.openxmlformats.org/officeDocument/2006/relationships" name="Carbon_Calculation_Log" sheetId="18" r:id="R00d7ced0c14e4c8f"/>
    <x:sheet xmlns:r="http://schemas.openxmlformats.org/officeDocument/2006/relationships" name="Image_Audit" sheetId="19" r:id="R27f6a403d20a4a4e"/>
    <x:sheet xmlns:r="http://schemas.openxmlformats.org/officeDocument/2006/relationships" name="TourDeparture" sheetId="20" r:id="R431741f0bcbe437b"/>
    <x:sheet xmlns:r="http://schemas.openxmlformats.org/officeDocument/2006/relationships" name="TourImage" sheetId="21" r:id="R47af2b0f9728427b"/>
    <x:sheet xmlns:r="http://schemas.openxmlformats.org/officeDocument/2006/relationships" name="TourFeature" sheetId="22" r:id="Rc2d84c0da55849b1"/>
    <x:sheet xmlns:r="http://schemas.openxmlformats.org/officeDocument/2006/relationships" name="TourHighlight" sheetId="23" r:id="Rce808c3028de46e4"/>
    <x:sheet xmlns:r="http://schemas.openxmlformats.org/officeDocument/2006/relationships" name="TourInclusion" sheetId="24" r:id="R7215d40cfe69443a"/>
    <x:sheet xmlns:r="http://schemas.openxmlformats.org/officeDocument/2006/relationships" name="TourPolicy" sheetId="25" r:id="R363f0d404bef4abd"/>
    <x:sheet xmlns:r="http://schemas.openxmlformats.org/officeDocument/2006/relationships" name="LocalImageMapping" sheetId="26" r:id="Reecb1e48beea450c"/>
    <x:sheet xmlns:r="http://schemas.openxmlformats.org/officeDocument/2006/relationships" name="SystemAssets" sheetId="27" r:id="Rd506568de0ef43a7"/>
    <x:sheet xmlns:r="http://schemas.openxmlformats.org/officeDocument/2006/relationships" name="DB_Image_Import_Guide" sheetId="28" r:id="Rfcb343995b5f4415"/>
  </x:sheets>
</x:workbook>
</file>

<file path=xl/sharedStrings.xml><?xml version="1.0" encoding="utf-8"?>
<x:sst xmlns:x="http://schemas.openxmlformats.org/spreadsheetml/2006/main">
  <x:si>
    <x:t xml:space="preserve">GREENSTEPS TOUR DATASET - 12 TOUR DU LỊCH XANH</x:t>
  </x:si>
  <x:si>
    <x:t xml:space="preserve">Mục đích</x:t>
  </x:si>
  <x:si>
    <x:t xml:space="preserve">File này mô phỏng bộ dữ liệu import/demo cho GreenSteps gồm 12 tour thuộc 3 cụm điểm đến: Phú Yên, Đà Lạt, Đà Nẵng - Hội An. Các sheet bám theo đặc tả DB: Schedule, ScheduleSample, GreenService, ScheduleActivity, Provider, Badge và booking mẫu.</x:t>
  </x:si>
  <x:si>
    <x:t xml:space="preserve">KPI</x:t>
  </x:si>
  <x:si>
    <x:t xml:space="preserve">Giá trị</x:t>
  </x:si>
  <x:si>
    <x:t xml:space="preserve">Carbon source summary</x:t>
  </x:si>
  <x:si>
    <x:t xml:space="preserve">Tổng tour</x:t>
  </x:si>
  <x:si>
    <x:t xml:space="preserve">Transport</x:t>
  </x:si>
  <x:si>
    <x:t xml:space="preserve">UK Gov 2025 conversion factors + tourism recommender literature</x:t>
  </x:si>
  <x:si>
    <x:t xml:space="preserve">Tour Phú Yên</x:t>
  </x:si>
  <x:si>
    <x:t xml:space="preserve">Accommodation</x:t>
  </x:si>
  <x:si>
    <x:t xml:space="preserve">Bentley et al. 2024: cần dữ liệu lưu trú theo địa chỉ/cơ sở</x:t>
  </x:si>
  <x:si>
    <x:t xml:space="preserve">Tour Đà Lạt</x:t>
  </x:si>
  <x:si>
    <x:t xml:space="preserve">Food</x:t>
  </x:si>
  <x:si>
    <x:t xml:space="preserve">LCA/public databases approach; estimates cần menu cụ thể</x:t>
  </x:si>
  <x:si>
    <x:t xml:space="preserve">Tour Đà Nẵng - Hội An</x:t>
  </x:si>
  <x:si>
    <x:t xml:space="preserve">Dịch vụ xanh</x:t>
  </x:si>
  <x:si>
    <x:t xml:space="preserve">Hoạt động lịch trình</x:t>
  </x:si>
  <x:si>
    <x:t xml:space="preserve">destination</x:t>
  </x:si>
  <x:si>
    <x:t xml:space="preserve">tour_count</x:t>
  </x:si>
  <x:si>
    <x:t xml:space="preserve">avg_cost</x:t>
  </x:si>
  <x:si>
    <x:t xml:space="preserve">avg_carbon</x:t>
  </x:si>
  <x:si>
    <x:t xml:space="preserve">Phú Yên</x:t>
  </x:si>
  <x:si>
    <x:t xml:space="preserve">Đà Lạt</x:t>
  </x:si>
  <x:si>
    <x:t xml:space="preserve">Đà Nẵng - Hội An</x:t>
  </x:si>
  <x:si>
    <x:t xml:space="preserve">Ghi chú ảnh: Cột image_url là URL ảnh; cột image_formula dùng =IMAGE(url) để preview khi mở bằng Excel/Google Sheets có hỗ trợ hàm IMAGE. Nếu phần mềm không hỗ trợ, vẫn dùng được image_url làm nguồn ảnh cho web/app.</x:t>
  </x:si>
  <x:si>
    <x:t xml:space="preserve">Ghi chú carbon mới</x:t>
  </x:si>
  <x:si>
    <x:t xml:space="preserve">Các giá trị carbon hiện được ghi là ước tính giảm phát thải CO2e dựa trên activity-level assumption, không phải số đo thực tế tại nhà cung cấp.</x:t>
  </x:si>
  <x:si>
    <x:t xml:space="preserve">Nguồn chính</x:t>
  </x:si>
  <x:si>
    <x:t xml:space="preserve">Xem sheet Carbon_Sources, Carbon_Assumptions và Carbon_Calculation_Log.</x:t>
  </x:si>
  <x:si>
    <x:t xml:space="preserve">Công thức Schedule.carbon</x:t>
  </x:si>
  <x:si>
    <x:t xml:space="preserve">SUMIF carbon của các hoạt động theo ID_Schedule trong sheet ScheduleActivity.</x:t>
  </x:si>
  <x:si>
    <x:t xml:space="preserve">Khuyến nghị</x:t>
  </x:si>
  <x:si>
    <x:t xml:space="preserve">Khi có dữ liệu thật, thay assumed_unit_or_distance bằng khoảng cách km, số đêm lưu trú, số bữa ăn hoặc consumption data thực tế.</x:t>
  </x:si>
  <x:si>
    <x:t xml:space="preserve">ID_Badge</x:t>
  </x:si>
  <x:si>
    <x:t xml:space="preserve">badges_description</x:t>
  </x:si>
  <x:si>
    <x:t xml:space="preserve">foruserortour</x:t>
  </x:si>
  <x:si>
    <x:t xml:space="preserve">BADGE_ECO_LOWCO2</x:t>
  </x:si>
  <x:si>
    <x:t xml:space="preserve">Lịch trình/dịch vụ có chỉ số giảm phát thải tốt, ưu tiên đi bộ, xe điện hoặc hoạt động ít rác.</x:t>
  </x:si>
  <x:si>
    <x:t xml:space="preserve">BADGE_LOCAL_CULTURE</x:t>
  </x:si>
  <x:si>
    <x:t xml:space="preserve">Tôn trọng văn hóa bản địa, có hoạt động với cộng đồng địa phương.</x:t>
  </x:si>
  <x:si>
    <x:t xml:space="preserve">BADGE_GREEN_TRANSPORT</x:t>
  </x:si>
  <x:si>
    <x:t xml:space="preserve">Ưu tiên phương tiện xanh: xe điện, xe đạp, đi bộ hoặc chia sẻ xe.</x:t>
  </x:si>
  <x:si>
    <x:t xml:space="preserve">BADGE_NATURE_PROTECT</x:t>
  </x:si>
  <x:si>
    <x:t xml:space="preserve">Gắn với bảo tồn thiên nhiên, hạn chế nhựa dùng một lần và giữ cảnh quan sạch.</x:t>
  </x:si>
  <x:si>
    <x:t xml:space="preserve">BADGE_SEA_CLEAN</x:t>
  </x:si>
  <x:si>
    <x:t xml:space="preserve">Phù hợp du lịch biển xanh, nhắc nhở không xả rác và không chạm san hô.</x:t>
  </x:si>
  <x:si>
    <x:t xml:space="preserve">BADGE_SLOW_TRAVEL</x:t>
  </x:si>
  <x:si>
    <x:t xml:space="preserve">Lịch trình chậm, ít di chuyển dồn dập, tăng trải nghiệm địa phương.</x:t>
  </x:si>
  <x:si>
    <x:t xml:space="preserve">BADGE_FAMILY_FRIENDLY</x:t>
  </x:si>
  <x:si>
    <x:t xml:space="preserve">Phù hợp gia đình, hoạt động nhẹ và an toàn.</x:t>
  </x:si>
  <x:si>
    <x:t xml:space="preserve">BADGE_STAY_GREEN</x:t>
  </x:si>
  <x:si>
    <x:t xml:space="preserve">Lưu trú xanh hoặc ưu tiên cơ sở giảm nhựa, tiết kiệm năng lượng.</x:t>
  </x:si>
  <x:si>
    <x:t xml:space="preserve">ID_Contract</x:t>
  </x:si>
  <x:si>
    <x:t xml:space="preserve">name_contract</x:t>
  </x:si>
  <x:si>
    <x:t xml:space="preserve">text</x:t>
  </x:si>
  <x:si>
    <x:t xml:space="preserve">contract_status</x:t>
  </x:si>
  <x:si>
    <x:t xml:space="preserve">CON0001</x:t>
  </x:si>
  <x:si>
    <x:t xml:space="preserve">Mẫu hợp đồng dịch vụ tour du lịch xanh</x:t>
  </x:si>
  <x:si>
    <x:t xml:space="preserve">Nhà cung cấp cam kết chiết khấu 10%, minh bạch giá, dùng hình ảnh đúng điểm đến và tuân thủ tiêu chuẩn du lịch xanh GreenSteps.</x:t>
  </x:si>
  <x:si>
    <x:t xml:space="preserve">active</x:t>
  </x:si>
  <x:si>
    <x:t xml:space="preserve">ID_User</x:t>
  </x:si>
  <x:si>
    <x:t xml:space="preserve">role</x:t>
  </x:si>
  <x:si>
    <x:t xml:space="preserve">username</x:t>
  </x:si>
  <x:si>
    <x:t xml:space="preserve">password</x:t>
  </x:si>
  <x:si>
    <x:t xml:space="preserve">fullname</x:t>
  </x:si>
  <x:si>
    <x:t xml:space="preserve">email</x:t>
  </x:si>
  <x:si>
    <x:t xml:space="preserve">phone</x:t>
  </x:si>
  <x:si>
    <x:t xml:space="preserve">dob</x:t>
  </x:si>
  <x:si>
    <x:t xml:space="preserve">gender</x:t>
  </x:si>
  <x:si>
    <x:t xml:space="preserve">address</x:t>
  </x:si>
  <x:si>
    <x:t xml:space="preserve">job</x:t>
  </x:si>
  <x:si>
    <x:t xml:space="preserve">company_name</x:t>
  </x:si>
  <x:si>
    <x:t xml:space="preserve">UG26PYPROV0001</x:t>
  </x:si>
  <x:si>
    <x:t xml:space="preserve">1</x:t>
  </x:si>
  <x:si>
    <x:t xml:space="preserve">phuyeneco</x:t>
  </x:si>
  <x:si>
    <x:t xml:space="preserve">hashed_demo_001</x:t>
  </x:si>
  <x:si>
    <x:t xml:space="preserve">Nguyễn Hải Nam</x:t>
  </x:si>
  <x:si>
    <x:t xml:space="preserve">nam@phuyeneco.vn</x:t>
  </x:si>
  <x:si>
    <x:t xml:space="preserve">0901001001</x:t>
  </x:si>
  <x:si>
    <x:t xml:space="preserve">12/03/1990</x:t>
  </x:si>
  <x:si>
    <x:t xml:space="preserve">Tuy Hòa, Phú Yên, Việt Nam</x:t>
  </x:si>
  <x:si>
    <x:t xml:space="preserve">Giám đốc điều hành</x:t>
  </x:si>
  <x:si>
    <x:t xml:space="preserve">Phu Yen Eco Discovery</x:t>
  </x:si>
  <x:si>
    <x:t xml:space="preserve">UG26DLPROV0002</x:t>
  </x:si>
  <x:si>
    <x:t xml:space="preserve">dalatpine</x:t>
  </x:si>
  <x:si>
    <x:t xml:space="preserve">hashed_demo_002</x:t>
  </x:si>
  <x:si>
    <x:t xml:space="preserve">Trần Minh Anh</x:t>
  </x:si>
  <x:si>
    <x:t xml:space="preserve">anh@dalatpine.vn</x:t>
  </x:si>
  <x:si>
    <x:t xml:space="preserve">0901001002</x:t>
  </x:si>
  <x:si>
    <x:t xml:space="preserve">04/09/1988</x:t>
  </x:si>
  <x:si>
    <x:t xml:space="preserve">0</x:t>
  </x:si>
  <x:si>
    <x:t xml:space="preserve">Đà Lạt, Lâm Đồng, Việt Nam</x:t>
  </x:si>
  <x:si>
    <x:t xml:space="preserve">Quản lý tour</x:t>
  </x:si>
  <x:si>
    <x:t xml:space="preserve">Dalat Pine Eco Travel</x:t>
  </x:si>
  <x:si>
    <x:t xml:space="preserve">UG26DNPROV0003</x:t>
  </x:si>
  <x:si>
    <x:t xml:space="preserve">dananggreen</x:t>
  </x:si>
  <x:si>
    <x:t xml:space="preserve">hashed_demo_003</x:t>
  </x:si>
  <x:si>
    <x:t xml:space="preserve">Lê Quốc Bảo</x:t>
  </x:si>
  <x:si>
    <x:t xml:space="preserve">bao@dananggreen.vn</x:t>
  </x:si>
  <x:si>
    <x:t xml:space="preserve">0901001003</x:t>
  </x:si>
  <x:si>
    <x:t xml:space="preserve">22/11/1985</x:t>
  </x:si>
  <x:si>
    <x:t xml:space="preserve">Hải Châu, Đà Nẵng, Việt Nam</x:t>
  </x:si>
  <x:si>
    <x:t xml:space="preserve">Founder</x:t>
  </x:si>
  <x:si>
    <x:t xml:space="preserve">Danang Hoi An Green Journeys</x:t>
  </x:si>
  <x:si>
    <x:t xml:space="preserve">UG26TRAV0004</x:t>
  </x:si>
  <x:si>
    <x:t xml:space="preserve">linhtraveler</x:t>
  </x:si>
  <x:si>
    <x:t xml:space="preserve">hashed_demo_004</x:t>
  </x:si>
  <x:si>
    <x:t xml:space="preserve">Linh Ngô</x:t>
  </x:si>
  <x:si>
    <x:t xml:space="preserve">linh.demo@email.com</x:t>
  </x:si>
  <x:si>
    <x:t xml:space="preserve">0912000004</x:t>
  </x:si>
  <x:si>
    <x:t xml:space="preserve">01/01/2003</x:t>
  </x:si>
  <x:si>
    <x:t xml:space="preserve">TP. Hồ Chí Minh, Việt Nam</x:t>
  </x:si>
  <x:si>
    <x:t xml:space="preserve">Sinh viên</x:t>
  </x:si>
  <x:si>
    <x:t xml:space="preserve">UG26TRAV0005</x:t>
  </x:si>
  <x:si>
    <x:t xml:space="preserve">minhgo</x:t>
  </x:si>
  <x:si>
    <x:t xml:space="preserve">hashed_demo_005</x:t>
  </x:si>
  <x:si>
    <x:t xml:space="preserve">Phạm Hoàng Minh</x:t>
  </x:si>
  <x:si>
    <x:t xml:space="preserve">minh.demo@email.com</x:t>
  </x:si>
  <x:si>
    <x:t xml:space="preserve">0912000005</x:t>
  </x:si>
  <x:si>
    <x:t xml:space="preserve">15/05/1999</x:t>
  </x:si>
  <x:si>
    <x:t xml:space="preserve">Hà Nội, Việt Nam</x:t>
  </x:si>
  <x:si>
    <x:t xml:space="preserve">Nhân viên văn phòng</x:t>
  </x:si>
  <x:si>
    <x:t xml:space="preserve">UG26TRAV0006</x:t>
  </x:si>
  <x:si>
    <x:t xml:space="preserve">annatravel</x:t>
  </x:si>
  <x:si>
    <x:t xml:space="preserve">hashed_demo_006</x:t>
  </x:si>
  <x:si>
    <x:t xml:space="preserve">Vũ An Nhiên</x:t>
  </x:si>
  <x:si>
    <x:t xml:space="preserve">annhien.demo@email.com</x:t>
  </x:si>
  <x:si>
    <x:t xml:space="preserve">0912000006</x:t>
  </x:si>
  <x:si>
    <x:t xml:space="preserve">30/08/2001</x:t>
  </x:si>
  <x:si>
    <x:t xml:space="preserve">2</x:t>
  </x:si>
  <x:si>
    <x:t xml:space="preserve">Cần Thơ, Việt Nam</x:t>
  </x:si>
  <x:si>
    <x:t xml:space="preserve">Freelancer</x:t>
  </x:si>
  <x:si>
    <x:t xml:space="preserve">ID_Vender</x:t>
  </x:si>
  <x:si>
    <x:t xml:space="preserve">registration_date</x:t>
  </x:si>
  <x:si>
    <x:t xml:space="preserve">vender_260001</x:t>
  </x:si>
  <x:si>
    <x:t xml:space="preserve">2026-06-01</x:t>
  </x:si>
  <x:si>
    <x:t xml:space="preserve">vender_260002</x:t>
  </x:si>
  <x:si>
    <x:t xml:space="preserve">2026-06-02</x:t>
  </x:si>
  <x:si>
    <x:t xml:space="preserve">vender_260003</x:t>
  </x:si>
  <x:si>
    <x:t xml:space="preserve">2026-06-03</x:t>
  </x:si>
  <x:si>
    <x:t xml:space="preserve">ID_Provider</x:t>
  </x:si>
  <x:si>
    <x:t xml:space="preserve">name_provider</x:t>
  </x:si>
  <x:si>
    <x:t xml:space="preserve">field</x:t>
  </x:si>
  <x:si>
    <x:t xml:space="preserve">image_url</x:t>
  </x:si>
  <x:si>
    <x:t xml:space="preserve">image_formula</x:t>
  </x:si>
  <x:si>
    <x:t xml:space="preserve">provider_status</x:t>
  </x:si>
  <x:si>
    <x:t xml:space="preserve">PROV-PY01</x:t>
  </x:si>
  <x:si>
    <x:t xml:space="preserve">Dịch vụ lữ hành xanh</x:t>
  </x:si>
  <x:si>
    <x:t xml:space="preserve">PROV-DL01</x:t>
  </x:si>
  <x:si>
    <x:t xml:space="preserve">PROV-DNHA01</x:t>
  </x:si>
  <x:si>
    <x:t xml:space="preserve">ID_Schedule</x:t>
  </x:si>
  <x:si>
    <x:t xml:space="preserve">tour_name</x:t>
  </x:si>
  <x:si>
    <x:t xml:space="preserve">days</x:t>
  </x:si>
  <x:si>
    <x:t xml:space="preserve">discount</x:t>
  </x:si>
  <x:si>
    <x:t xml:space="preserve">carbon</x:t>
  </x:si>
  <x:si>
    <x:t xml:space="preserve">tour_description</x:t>
  </x:si>
  <x:si>
    <x:t xml:space="preserve">votes_count</x:t>
  </x:si>
  <x:si>
    <x:t xml:space="preserve">carbon_method</x:t>
  </x:si>
  <x:si>
    <x:t xml:space="preserve">carbon_scope</x:t>
  </x:si>
  <x:si>
    <x:t xml:space="preserve">source_id</x:t>
  </x:si>
  <x:si>
    <x:t xml:space="preserve">evidence_level</x:t>
  </x:si>
  <x:si>
    <x:t xml:space="preserve">carbon_note</x:t>
  </x:si>
  <x:si>
    <x:t xml:space="preserve">carbon_source_url</x:t>
  </x:si>
  <x:si>
    <x:t xml:space="preserve">SCHPY001</x:t>
  </x:si>
  <x:si>
    <x:t xml:space="preserve">Phú Yên xanh: Gành Đá Đĩa - Đầm Ô Loan</x:t>
  </x:si>
  <x:si>
    <x:t xml:space="preserve">Tour 2 ngày kết hợp kỳ quan đá bazan Gành Đá Đĩa, hải sản đầm Ô Loan và di chuyển theo nhóm nhỏ để giảm phát thải.</x:t>
  </x:si>
  <x:si>
    <x:t xml:space="preserve">SUMIF activity-level carbon savings</x:t>
  </x:si>
  <x:si>
    <x:t xml:space="preserve">Estimated avoided operational CO2e; not measured footprint</x:t>
  </x:si>
  <x:si>
    <x:t xml:space="preserve">SRC_GOVUK_2025; SRC_IPCC_EFDB_2025; SRC_TRS_2024</x:t>
  </x:si>
  <x:si>
    <x:t xml:space="preserve">Mixed</x:t>
  </x:si>
  <x:si>
    <x:t xml:space="preserve">Tour carbon = tổng carbon của các hoạt động trong ScheduleActivity. Cần thay bằng dữ liệu khoảng cách/nhà cung cấp thực tế nếu dùng báo cáo chính thức.</x:t>
  </x:si>
  <x:si>
    <x:t xml:space="preserve">https://www.gov.uk/government/publications/greenhouse-gas-reporting-conversion-factors-2025</x:t>
  </x:si>
  <x:si>
    <x:t xml:space="preserve">SCHPY002</x:t>
  </x:si>
  <x:si>
    <x:t xml:space="preserve">Bình minh Mũi Điện - Bãi Môn - Vũng Rô</x:t>
  </x:si>
  <x:si>
    <x:t xml:space="preserve">Hành trình dậy sớm ngắm bình minh tại hải đăng Mũi Điện, tắm Bãi Môn và nghe chuyện lịch sử vịnh Vũng Rô.</x:t>
  </x:si>
  <x:si>
    <x:t xml:space="preserve">SCHPY003</x:t>
  </x:si>
  <x:si>
    <x:t xml:space="preserve">Bãi Xép - Ghềnh Ông - Tháp Nhạn 1 ngày</x:t>
  </x:si>
  <x:si>
    <x:t xml:space="preserve">Tour ngắn dành cho khách thích biển, phim trường hoa vàng cỏ xanh, kết hợp check-in Tháp Nhạn và ẩm thực địa phương.</x:t>
  </x:si>
  <x:si>
    <x:t xml:space="preserve">SCHPY004</x:t>
  </x:si>
  <x:si>
    <x:t xml:space="preserve">Hòn Yến - Nhất Tự Sơn - làng chài xanh</x:t>
  </x:si>
  <x:si>
    <x:t xml:space="preserve">Lịch trình chậm 3 ngày khám phá đảo ven bờ, ngắm san hô khi thủy triều xuống, ăn hải sản địa phương và nhắc bảo vệ rạn san hô.</x:t>
  </x:si>
  <x:si>
    <x:t xml:space="preserve">SCHDL005</x:t>
  </x:si>
  <x:si>
    <x:t xml:space="preserve">Đà Lạt chill: Hồ Xuân Hương - Quảng trường Lâm Viên</x:t>
  </x:si>
  <x:si>
    <x:t xml:space="preserve">Một ngày thư giãn quanh Hồ Xuân Hương, Quảng trường Lâm Viên, chợ đêm và trải nghiệm xe đạp/đi bộ nội đô.</x:t>
  </x:si>
  <x:si>
    <x:t xml:space="preserve">SCHDL006</x:t>
  </x:si>
  <x:si>
    <x:t xml:space="preserve">Langbiang - làng Cù Lần - nông trại cà phê</x:t>
  </x:si>
  <x:si>
    <x:t xml:space="preserve">Tour cao nguyên dành cho khách thích trekking nhẹ, văn hóa bản địa và workshop cà phê tại nông trại xanh.</x:t>
  </x:si>
  <x:si>
    <x:t xml:space="preserve">SCHDL007</x:t>
  </x:si>
  <x:si>
    <x:t xml:space="preserve">Hồ Tuyền Lâm - Thiền viện Trúc Lâm - thác Datanla</x:t>
  </x:si>
  <x:si>
    <x:t xml:space="preserve">Hành trình hồ, rừng thông và thiền viện; ưu tiên di chuyển ngắn, hoạt động ngoài trời nhẹ và nghỉ dưỡng ven hồ.</x:t>
  </x:si>
  <x:si>
    <x:t xml:space="preserve">SCHDL008</x:t>
  </x:si>
  <x:si>
    <x:t xml:space="preserve">Săn mây Cầu Đất - Chùa Linh Phước - vườn hoa</x:t>
  </x:si>
  <x:si>
    <x:t xml:space="preserve">Tour sáng sớm săn mây tại Cầu Đất, tham quan Chùa Linh Phước và trải nghiệm nông sản địa phương.</x:t>
  </x:si>
  <x:si>
    <x:t xml:space="preserve">SCHDN009</x:t>
  </x:si>
  <x:si>
    <x:t xml:space="preserve">Đà Nẵng biển xanh: Sơn Trà - Linh Ứng - Cầu Rồng</x:t>
  </x:si>
  <x:si>
    <x:t xml:space="preserve">Tour thành phố biển kết hợp bán đảo Sơn Trà, chùa Linh Ứng, Cầu Rồng và hoạt động đi bộ ven sông Hàn.</x:t>
  </x:si>
  <x:si>
    <x:t xml:space="preserve">SCHDN010</x:t>
  </x:si>
  <x:si>
    <x:t xml:space="preserve">Bà Nà Hills - Cầu Vàng trong mây</x:t>
  </x:si>
  <x:si>
    <x:t xml:space="preserve">Lịch trình 1 ngày tham quan Cầu Vàng và Bà Nà Hills, tối ưu ghép đoàn để giảm phát thải trên mỗi khách.</x:t>
  </x:si>
  <x:si>
    <x:t xml:space="preserve">SCHHA011</x:t>
  </x:si>
  <x:si>
    <x:t xml:space="preserve">Hội An di sản - rừng dừa Bảy Mẫu - Trà Quế</x:t>
  </x:si>
  <x:si>
    <x:t xml:space="preserve">Tour chậm tại Hội An: phố cổ về đêm, thuyền thúng rừng dừa và lớp nấu ăn/làm vườn ở Trà Quế.</x:t>
  </x:si>
  <x:si>
    <x:t xml:space="preserve">SCHHA012</x:t>
  </x:si>
  <x:si>
    <x:t xml:space="preserve">Ngũ Hành Sơn - Cù Lao Chàm - phố Hội</x:t>
  </x:si>
  <x:si>
    <x:t xml:space="preserve">Ba ngày cân bằng văn hóa - biển đảo: Ngũ Hành Sơn, Cù Lao Chàm, phố cổ Hội An và nhắc không chạm san hô.</x:t>
  </x:si>
  <x:si>
    <x:t xml:space="preserve">cost</x:t>
  </x:si>
  <x:si>
    <x:t xml:space="preserve">old_cost</x:t>
  </x:si>
  <x:si>
    <x:t xml:space="preserve">rating</x:t>
  </x:si>
  <x:si>
    <x:t xml:space="preserve">ID_Service</x:t>
  </x:si>
  <x:si>
    <x:t xml:space="preserve">name_service</x:t>
  </x:si>
  <x:si>
    <x:t xml:space="preserve">type</x:t>
  </x:si>
  <x:si>
    <x:t xml:space="preserve">bookings_count</x:t>
  </x:si>
  <x:si>
    <x:t xml:space="preserve">current_data</x:t>
  </x:si>
  <x:si>
    <x:t xml:space="preserve">baseline_scenario</x:t>
  </x:si>
  <x:si>
    <x:t xml:space="preserve">green_scenario</x:t>
  </x:si>
  <x:si>
    <x:t xml:space="preserve">assumed_unit_or_distance</x:t>
  </x:si>
  <x:si>
    <x:t xml:space="preserve">baseline_ef_kgCO2e</x:t>
  </x:si>
  <x:si>
    <x:t xml:space="preserve">green_ef_kgCO2e</x:t>
  </x:si>
  <x:si>
    <x:t xml:space="preserve">SRV_PY_GANHDA01</x:t>
  </x:si>
  <x:si>
    <x:t xml:space="preserve">Vé tham quan Gành Đá Đĩa</x:t>
  </x:si>
  <x:si>
    <x:t xml:space="preserve">attraction</x:t>
  </x:si>
  <x:si>
    <x:t xml:space="preserve">{"lat":13.3594,"lng":109.2935}</x:t>
  </x:si>
  <x:si>
    <x:t xml:space="preserve">Tham quan tiêu chuẩn</x:t>
  </x:si>
  <x:si>
    <x:t xml:space="preserve">Tham quan low-impact/giảm rác</x:t>
  </x:si>
  <x:si>
    <x:t xml:space="preserve">carbon = -activity_count*(baseline_ef-green_ef)</x:t>
  </x:si>
  <x:si>
    <x:t xml:space="preserve">SRC_UI_2024; SRC_IPCC_EFDB_2025</x:t>
  </x:si>
  <x:si>
    <x:t xml:space="preserve">Low</x:t>
  </x:si>
  <x:si>
    <x:t xml:space="preserve">Attraction-level estimate; độ tin cậy thấp nếu thiếu số liệu hoạt động.</x:t>
  </x:si>
  <x:si>
    <x:t xml:space="preserve">SRV_PY_DAMOLOAN01</x:t>
  </x:si>
  <x:si>
    <x:t xml:space="preserve">Bữa hải sản đầm Ô Loan không nhựa dùng một lần</x:t>
  </x:si>
  <x:si>
    <x:t xml:space="preserve">food</x:t>
  </x:si>
  <x:si>
    <x:t xml:space="preserve">{"lat":13.2706,"lng":109.2767}</x:t>
  </x:si>
  <x:si>
    <x:t xml:space="preserve">Bữa ăn du lịch thông thường</x:t>
  </x:si>
  <x:si>
    <x:t xml:space="preserve">Bữa ăn địa phương/low-waste</x:t>
  </x:si>
  <x:si>
    <x:t xml:space="preserve">carbon = -meal_count*(baseline_ef-green_ef)</x:t>
  </x:si>
  <x:si>
    <x:t xml:space="preserve">SRC_FOOD_LCA_2025</x:t>
  </x:si>
  <x:si>
    <x:t xml:space="preserve">Meal-level estimate; cần menu/khẩu phần để LCA chuẩn.</x:t>
  </x:si>
  <x:si>
    <x:t xml:space="preserve">SRV_PY_MUIDIEN01</x:t>
  </x:si>
  <x:si>
    <x:t xml:space="preserve">Check-in Hải đăng Mũi Điện - Bãi Môn</x:t>
  </x:si>
  <x:si>
    <x:t xml:space="preserve">{"lat":12.8872,"lng":109.4500}</x:t>
  </x:si>
  <x:si>
    <x:t xml:space="preserve">SRV_PY_BAIXEP01</x:t>
  </x:si>
  <x:si>
    <x:t xml:space="preserve">Trekking nhẹ Bãi Xép - Ghềnh Ông</x:t>
  </x:si>
  <x:si>
    <x:t xml:space="preserve">{"lat":13.1419,"lng":109.3221}</x:t>
  </x:si>
  <x:si>
    <x:t xml:space="preserve">Taxi/xe cá nhân cho chặng ngắn</x:t>
  </x:si>
  <x:si>
    <x:t xml:space="preserve">Đi bộ/đạp xe/trekking/SUP</x:t>
  </x:si>
  <x:si>
    <x:t xml:space="preserve">carbon = -distance_km*(baseline_ef-green_ef)</x:t>
  </x:si>
  <x:si>
    <x:t xml:space="preserve">SRC_GOVUK_2025; SRC_TRS_2024; SRC_UI_2024</x:t>
  </x:si>
  <x:si>
    <x:t xml:space="preserve">Medium</x:t>
  </x:si>
  <x:si>
    <x:t xml:space="preserve">Operational emissions avoided for local mobility.</x:t>
  </x:si>
  <x:si>
    <x:t xml:space="preserve">SRV_PY_HONYEN01</x:t>
  </x:si>
  <x:si>
    <x:t xml:space="preserve">Ngắm san hô Hòn Yến khi thủy triều xuống</x:t>
  </x:si>
  <x:si>
    <x:t xml:space="preserve">{"lat":13.2571,"lng":109.3070}</x:t>
  </x:si>
  <x:si>
    <x:t xml:space="preserve">SRV_PY_EBIKE01</x:t>
  </x:si>
  <x:si>
    <x:t xml:space="preserve">Xe điện nhóm nhỏ Tuy Hòa - Tuy An</x:t>
  </x:si>
  <x:si>
    <x:t xml:space="preserve">transport</x:t>
  </x:si>
  <x:si>
    <x:t xml:space="preserve">{"lat":13.0955,"lng":109.3209}</x:t>
  </x:si>
  <x:si>
    <x:t xml:space="preserve">Xe cá nhân/taxi xăng</x:t>
  </x:si>
  <x:si>
    <x:t xml:space="preserve">Xe điện/xe điện nhóm nhỏ</x:t>
  </x:si>
  <x:si>
    <x:t xml:space="preserve">SRC_GOVUK_2025; SRC_EV_2024; SRC_TRS_2024</x:t>
  </x:si>
  <x:si>
    <x:t xml:space="preserve">Service-level estimate; nếu app có khoảng cách thực tế, nên thay bằng công thức distance_km × emission factor.</x:t>
  </x:si>
  <x:si>
    <x:t xml:space="preserve">SRV_PY_HOMESTAY01</x:t>
  </x:si>
  <x:si>
    <x:t xml:space="preserve">Homestay làng chài Hòn Yến giảm nhựa</x:t>
  </x:si>
  <x:si>
    <x:t xml:space="preserve">stay</x:t>
  </x:si>
  <x:si>
    <x:t xml:space="preserve">{"lat":13.2550,"lng":109.3050}</x:t>
  </x:si>
  <x:si>
    <x:t xml:space="preserve">Khách sạn thông thường</x:t>
  </x:si>
  <x:si>
    <x:t xml:space="preserve">Eco homestay/low-waste stay</x:t>
  </x:si>
  <x:si>
    <x:t xml:space="preserve">carbon = -night_count*(baseline_ef-green_ef)</x:t>
  </x:si>
  <x:si>
    <x:t xml:space="preserve">SRC_ACCOM_2024</x:t>
  </x:si>
  <x:si>
    <x:t xml:space="preserve">Service-level guest-night estimate; cần số liệu điện/nước/phòng để tăng độ tin cậy.</x:t>
  </x:si>
  <x:si>
    <x:t xml:space="preserve">SRV_DL_XUANHUONG01</x:t>
  </x:si>
  <x:si>
    <x:t xml:space="preserve">Đạp xe quanh Hồ Xuân Hương</x:t>
  </x:si>
  <x:si>
    <x:t xml:space="preserve">{"lat":11.9435,"lng":108.4385}</x:t>
  </x:si>
  <x:si>
    <x:t xml:space="preserve">SRV_DL_LAMVIEN01</x:t>
  </x:si>
  <x:si>
    <x:t xml:space="preserve">Check-in Quảng trường Lâm Viên</x:t>
  </x:si>
  <x:si>
    <x:t xml:space="preserve">{"lat":11.9401,"lng":108.4450}</x:t>
  </x:si>
  <x:si>
    <x:t xml:space="preserve">SRV_DL_LANGBIANG01</x:t>
  </x:si>
  <x:si>
    <x:t xml:space="preserve">Trekking Langbiang cùng hướng dẫn viên bản địa</x:t>
  </x:si>
  <x:si>
    <x:t xml:space="preserve">{"lat":12.0476,"lng":108.4407}</x:t>
  </x:si>
  <x:si>
    <x:t xml:space="preserve">SRV_DL_TUYENLAM01</x:t>
  </x:si>
  <x:si>
    <x:t xml:space="preserve">Chèo SUP hồ Tuyền Lâm</x:t>
  </x:si>
  <x:si>
    <x:t xml:space="preserve">{"lat":11.9036,"lng":108.4276}</x:t>
  </x:si>
  <x:si>
    <x:t xml:space="preserve">SRV_DL_TRUCLAM01</x:t>
  </x:si>
  <x:si>
    <x:t xml:space="preserve">Tham quan Thiền viện Trúc Lâm</x:t>
  </x:si>
  <x:si>
    <x:t xml:space="preserve">{"lat":11.9038,"lng":108.4350}</x:t>
  </x:si>
  <x:si>
    <x:t xml:space="preserve">SRV_DL_CAUKDAT01</x:t>
  </x:si>
  <x:si>
    <x:t xml:space="preserve">Workshop cà phê Cầu Đất &amp; nông trại hữu cơ</x:t>
  </x:si>
  <x:si>
    <x:t xml:space="preserve">{"lat":11.9285,"lng":108.5403}</x:t>
  </x:si>
  <x:si>
    <x:t xml:space="preserve">SRV_DL_LINHPHUOC01</x:t>
  </x:si>
  <x:si>
    <x:t xml:space="preserve">Tham quan Chùa Linh Phước</x:t>
  </x:si>
  <x:si>
    <x:t xml:space="preserve">{"lat":11.9448,"lng":108.4947}</x:t>
  </x:si>
  <x:si>
    <x:t xml:space="preserve">SRV_DL_EBIKE01</x:t>
  </x:si>
  <x:si>
    <x:t xml:space="preserve">Thuê xe đạp/xe điện Đà Lạt</x:t>
  </x:si>
  <x:si>
    <x:t xml:space="preserve">{"lat":11.9400,"lng":108.4380}</x:t>
  </x:si>
  <x:si>
    <x:t xml:space="preserve">SRV_DL_HOMESTAY01</x:t>
  </x:si>
  <x:si>
    <x:t xml:space="preserve">Lưu trú xanh ven hồ Tuyền Lâm</x:t>
  </x:si>
  <x:si>
    <x:t xml:space="preserve">{"lat":11.9000,"lng":108.4300}</x:t>
  </x:si>
  <x:si>
    <x:t xml:space="preserve">SRV_DN_DRAGON01</x:t>
  </x:si>
  <x:si>
    <x:t xml:space="preserve">Dạo Cầu Rồng &amp; sông Hàn buổi tối</x:t>
  </x:si>
  <x:si>
    <x:t xml:space="preserve">{"lat":16.0612,"lng":108.2275}</x:t>
  </x:si>
  <x:si>
    <x:t xml:space="preserve">SRV_DN_GOLDEN01</x:t>
  </x:si>
  <x:si>
    <x:t xml:space="preserve">Vé Cầu Vàng - Bà Nà Hills</x:t>
  </x:si>
  <x:si>
    <x:t xml:space="preserve">{"lat":15.9950,"lng":107.9970}</x:t>
  </x:si>
  <x:si>
    <x:t xml:space="preserve">SRV_DN_MARBLE01</x:t>
  </x:si>
  <x:si>
    <x:t xml:space="preserve">Khám phá Ngũ Hành Sơn</x:t>
  </x:si>
  <x:si>
    <x:t xml:space="preserve">{"lat":16.0000,"lng":108.2600}</x:t>
  </x:si>
  <x:si>
    <x:t xml:space="preserve">SRV_DN_SONTRA01</x:t>
  </x:si>
  <x:si>
    <x:t xml:space="preserve">Bán đảo Sơn Trà - Chùa Linh Ứng</x:t>
  </x:si>
  <x:si>
    <x:t xml:space="preserve">{"lat":16.1022,"lng":108.2786}</x:t>
  </x:si>
  <x:si>
    <x:t xml:space="preserve">SRV_HA_OLDTOWN01</x:t>
  </x:si>
  <x:si>
    <x:t xml:space="preserve">Phố cổ Hội An buổi tối</x:t>
  </x:si>
  <x:si>
    <x:t xml:space="preserve">{"lat":15.8801,"lng":108.3380}</x:t>
  </x:si>
  <x:si>
    <x:t xml:space="preserve">SRV_HA_COCONUT01</x:t>
  </x:si>
  <x:si>
    <x:t xml:space="preserve">Thuyền thúng rừng dừa Bảy Mẫu</x:t>
  </x:si>
  <x:si>
    <x:t xml:space="preserve">{"lat":15.8737,"lng":108.3828}</x:t>
  </x:si>
  <x:si>
    <x:t xml:space="preserve">SRV_HA_TRAQUE01</x:t>
  </x:si>
  <x:si>
    <x:t xml:space="preserve">Lớp nấu ăn làng rau Trà Quế</x:t>
  </x:si>
  <x:si>
    <x:t xml:space="preserve">{"lat":15.8995,"lng":108.3495}</x:t>
  </x:si>
  <x:si>
    <x:t xml:space="preserve">SRV_DN_CHAM01</x:t>
  </x:si>
  <x:si>
    <x:t xml:space="preserve">Cù Lao Chàm snorkeling ít rác</x:t>
  </x:si>
  <x:si>
    <x:t xml:space="preserve">{"lat":15.9541,"lng":108.5224}</x:t>
  </x:si>
  <x:si>
    <x:t xml:space="preserve">SRV_DN_EBUS01</x:t>
  </x:si>
  <x:si>
    <x:t xml:space="preserve">Xe điện/xe ghép Đà Nẵng - Hội An</x:t>
  </x:si>
  <x:si>
    <x:t xml:space="preserve">{"lat":16.0471,"lng":108.2068}</x:t>
  </x:si>
  <x:si>
    <x:t xml:space="preserve">Xe ghép/ghép đoàn</x:t>
  </x:si>
  <x:si>
    <x:t xml:space="preserve">SRC_GOVUK_2025; SRC_TRS_2024</x:t>
  </x:si>
  <x:si>
    <x:t xml:space="preserve">SRV_HA_ECOSTAY01</x:t>
  </x:si>
  <x:si>
    <x:t xml:space="preserve">Eco homestay gần phố cổ Hội An</x:t>
  </x:si>
  <x:si>
    <x:t xml:space="preserve">{"lat":15.8790,"lng":108.3350}</x:t>
  </x:si>
  <x:si>
    <x:t xml:space="preserve">ID_Activity</x:t>
  </x:si>
  <x:si>
    <x:t xml:space="preserve">day_number</x:t>
  </x:si>
  <x:si>
    <x:t xml:space="preserve">time</x:t>
  </x:si>
  <x:si>
    <x:t xml:space="preserve">activity_name</x:t>
  </x:si>
  <x:si>
    <x:t xml:space="preserve">activity_cost</x:t>
  </x:si>
  <x:si>
    <x:t xml:space="preserve">icon</x:t>
  </x:si>
  <x:si>
    <x:t xml:space="preserve">coordinates</x:t>
  </x:si>
  <x:si>
    <x:t xml:space="preserve">act_0001</x:t>
  </x:si>
  <x:si>
    <x:t xml:space="preserve">07:30</x:t>
  </x:si>
  <x:si>
    <x:t xml:space="preserve">Đón khách tại Tuy Hòa bằng xe điện nhóm nhỏ</x:t>
  </x:si>
  <x:si>
    <x:t xml:space="preserve">bi-ev-front</x:t>
  </x:si>
  <x:si>
    <x:t xml:space="preserve">13.0955,109.3209</x:t>
  </x:si>
  <x:si>
    <x:t xml:space="preserve">Khoảng cách km ước tính ngược từ giá trị carbon hiện tại để minh bạch phương pháp.</x:t>
  </x:si>
  <x:si>
    <x:t xml:space="preserve">act_0002</x:t>
  </x:si>
  <x:si>
    <x:t xml:space="preserve">09:00</x:t>
  </x:si>
  <x:si>
    <x:t xml:space="preserve">Tham quan Gành Đá Đĩa và chụp ảnh bờ đá bazan</x:t>
  </x:si>
  <x:si>
    <x:t xml:space="preserve">bi-camera</x:t>
  </x:si>
  <x:si>
    <x:t xml:space="preserve">13.3594,109.2935</x:t>
  </x:si>
  <x:si>
    <x:t xml:space="preserve">Tham quan low-impact/giảm rác/ứng xử bảo tồn</x:t>
  </x:si>
  <x:si>
    <x:t xml:space="preserve">Hoạt động văn hóa/check-in khó đo trực tiếp; chỉ là estimate mức thấp.</x:t>
  </x:si>
  <x:si>
    <x:t xml:space="preserve">act_0003</x:t>
  </x:si>
  <x:si>
    <x:t xml:space="preserve">12:00</x:t>
  </x:si>
  <x:si>
    <x:t xml:space="preserve">Ăn trưa hải sản đầm Ô Loan, hạn chế nhựa dùng một lần</x:t>
  </x:si>
  <x:si>
    <x:t xml:space="preserve">bi-cup-hot</x:t>
  </x:si>
  <x:si>
    <x:t xml:space="preserve">13.2706,109.2767</x:t>
  </x:si>
  <x:si>
    <x:t xml:space="preserve">Bữa ăn du lịch thông thường nhiều rác/bao bì</x:t>
  </x:si>
  <x:si>
    <x:t xml:space="preserve">Bữa ăn địa phương/low-waste/workshop</x:t>
  </x:si>
  <x:si>
    <x:t xml:space="preserve">Đơn vị là meal-count ước tính; carbon món ăn dao động theo nguyên liệu.</x:t>
  </x:si>
  <x:si>
    <x:t xml:space="preserve">act_0004</x:t>
  </x:si>
  <x:si>
    <x:t xml:space="preserve">15:30</x:t>
  </x:si>
  <x:si>
    <x:t xml:space="preserve">Ghé nhà thờ Mằng Lăng và nghe chuyện địa phương</x:t>
  </x:si>
  <x:si>
    <x:t xml:space="preserve">bi-bank</x:t>
  </x:si>
  <x:si>
    <x:t xml:space="preserve">13.3185,109.2146</x:t>
  </x:si>
  <x:si>
    <x:t xml:space="preserve">act_0005</x:t>
  </x:si>
  <x:si>
    <x:t xml:space="preserve">Đi bộ nhẹ Bãi Xép - Ghềnh Ông</x:t>
  </x:si>
  <x:si>
    <x:t xml:space="preserve">bi-flower1</x:t>
  </x:si>
  <x:si>
    <x:t xml:space="preserve">experience</x:t>
  </x:si>
  <x:si>
    <x:t xml:space="preserve">13.1419,109.3221</x:t>
  </x:si>
  <x:si>
    <x:t xml:space="preserve">Di chuyển/chặng ngắn bằng taxi/xe cá nhân</x:t>
  </x:si>
  <x:si>
    <x:t xml:space="preserve">Đi bộ/đạp xe/trekking/chèo SUP</x:t>
  </x:si>
  <x:si>
    <x:t xml:space="preserve">Km vận động nhẹ ước tính; không tính embodied emissions của dụng cụ.</x:t>
  </x:si>
  <x:si>
    <x:t xml:space="preserve">act_0006</x:t>
  </x:si>
  <x:si>
    <x:t xml:space="preserve">11:00</x:t>
  </x:si>
  <x:si>
    <x:t xml:space="preserve">Tổng kết điểm xanh và trả khách tại Tuy Hòa</x:t>
  </x:si>
  <x:si>
    <x:t xml:space="preserve">bi-check-circle</x:t>
  </x:si>
  <x:si>
    <x:t xml:space="preserve">act_0007</x:t>
  </x:si>
  <x:si>
    <x:t xml:space="preserve">04:45</x:t>
  </x:si>
  <x:si>
    <x:t xml:space="preserve">Xuất phát sớm đi Mũi Điện ngắm bình minh</x:t>
  </x:si>
  <x:si>
    <x:t xml:space="preserve">bi-sunrise</x:t>
  </x:si>
  <x:si>
    <x:t xml:space="preserve">12.8872,109.4500</x:t>
  </x:si>
  <x:si>
    <x:t xml:space="preserve">act_0008</x:t>
  </x:si>
  <x:si>
    <x:t xml:space="preserve">07:00</x:t>
  </x:si>
  <x:si>
    <x:t xml:space="preserve">Tắm Bãi Môn và dọn rác mini 15 phút</x:t>
  </x:si>
  <x:si>
    <x:t xml:space="preserve">bi-water</x:t>
  </x:si>
  <x:si>
    <x:t xml:space="preserve">12.8860,109.4470</x:t>
  </x:si>
  <x:si>
    <x:t xml:space="preserve">act_0009</x:t>
  </x:si>
  <x:si>
    <x:t xml:space="preserve">10:30</x:t>
  </x:si>
  <x:si>
    <x:t xml:space="preserve">Tham quan Vũng Rô và nghe câu chuyện tàu không số</x:t>
  </x:si>
  <x:si>
    <x:t xml:space="preserve">bi-compass</x:t>
  </x:si>
  <x:si>
    <x:t xml:space="preserve">12.8710,109.4100</x:t>
  </x:si>
  <x:si>
    <x:t xml:space="preserve">act_0010</x:t>
  </x:si>
  <x:si>
    <x:t xml:space="preserve">18:00</x:t>
  </x:si>
  <x:si>
    <x:t xml:space="preserve">Nhận phòng homestay địa phương</x:t>
  </x:si>
  <x:si>
    <x:t xml:space="preserve">bi-house-heart</x:t>
  </x:si>
  <x:si>
    <x:t xml:space="preserve">lodging</x:t>
  </x:si>
  <x:si>
    <x:t xml:space="preserve">13.2550,109.3050</x:t>
  </x:si>
  <x:si>
    <x:t xml:space="preserve">Đơn vị là guest-night ước tính; cần dữ liệu cơ sở lưu trú thực tế để chính xác.</x:t>
  </x:si>
  <x:si>
    <x:t xml:space="preserve">act_0011</x:t>
  </x:si>
  <x:si>
    <x:t xml:space="preserve">08:00</x:t>
  </x:si>
  <x:si>
    <x:t xml:space="preserve">Bữa sáng hải sản địa phương và cà phê Tuy Hòa</x:t>
  </x:si>
  <x:si>
    <x:t xml:space="preserve">act_0012</x:t>
  </x:si>
  <x:si>
    <x:t xml:space="preserve">13:00</x:t>
  </x:si>
  <x:si>
    <x:t xml:space="preserve">Xe điện về trung tâm, trả khách</x:t>
  </x:si>
  <x:si>
    <x:t xml:space="preserve">act_0013</x:t>
  </x:si>
  <x:si>
    <x:t xml:space="preserve">bi-signpost-split</x:t>
  </x:si>
  <x:si>
    <x:t xml:space="preserve">act_0014</x:t>
  </x:si>
  <x:si>
    <x:t xml:space="preserve">Check-in Tháp Nhạn và tìm hiểu văn hóa Chăm</x:t>
  </x:si>
  <x:si>
    <x:t xml:space="preserve">bi-bricks</x:t>
  </x:si>
  <x:si>
    <x:t xml:space="preserve">13.0878,109.3021</x:t>
  </x:si>
  <x:si>
    <x:t xml:space="preserve">act_0015</x:t>
  </x:si>
  <x:si>
    <x:t xml:space="preserve">Ăn trưa đặc sản mắt cá ngừ đại dương</x:t>
  </x:si>
  <x:si>
    <x:t xml:space="preserve">act_0016</x:t>
  </x:si>
  <x:si>
    <x:t xml:space="preserve">Xe điện dạo ven biển Tuy Hòa</x:t>
  </x:si>
  <x:si>
    <x:t xml:space="preserve">act_0017</x:t>
  </x:si>
  <x:si>
    <x:t xml:space="preserve">bi-gem</x:t>
  </x:si>
  <x:si>
    <x:t xml:space="preserve">13.2571,109.3070</x:t>
  </x:si>
  <x:si>
    <x:t xml:space="preserve">act_0018</x:t>
  </x:si>
  <x:si>
    <x:t xml:space="preserve">12:30</x:t>
  </x:si>
  <x:si>
    <x:t xml:space="preserve">Ăn trưa làng chài, nhắc không khai thác san hô</x:t>
  </x:si>
  <x:si>
    <x:t xml:space="preserve">bi-cup-straw</x:t>
  </x:si>
  <x:si>
    <x:t xml:space="preserve">act_0019</x:t>
  </x:si>
  <x:si>
    <x:t xml:space="preserve">17:30</x:t>
  </x:si>
  <x:si>
    <x:t xml:space="preserve">Nhận phòng homestay làng chài Hòn Yến</x:t>
  </x:si>
  <x:si>
    <x:t xml:space="preserve">act_0020</x:t>
  </x:si>
  <x:si>
    <x:t xml:space="preserve">Di chuyển Nhất Tự Sơn, đi bộ theo con đường cát khi thủy triều phù hợp</x:t>
  </x:si>
  <x:si>
    <x:t xml:space="preserve">13.4530,109.2370</x:t>
  </x:si>
  <x:si>
    <x:t xml:space="preserve">act_0021</x:t>
  </x:si>
  <x:si>
    <x:t xml:space="preserve">14:30</x:t>
  </x:si>
  <x:si>
    <x:t xml:space="preserve">Xe điện về Tuy Hòa nghỉ ngơi</x:t>
  </x:si>
  <x:si>
    <x:t xml:space="preserve">act_0022</x:t>
  </x:si>
  <x:si>
    <x:t xml:space="preserve">08:30</x:t>
  </x:si>
  <x:si>
    <x:t xml:space="preserve">Bữa sáng đầm Ô Loan và tổng kết hành trình xanh</x:t>
  </x:si>
  <x:si>
    <x:t xml:space="preserve">bi-check2-circle</x:t>
  </x:si>
  <x:si>
    <x:t xml:space="preserve">act_0023</x:t>
  </x:si>
  <x:si>
    <x:t xml:space="preserve">bi-bicycle</x:t>
  </x:si>
  <x:si>
    <x:t xml:space="preserve">11.9435,108.4385</x:t>
  </x:si>
  <x:si>
    <x:t xml:space="preserve">act_0024</x:t>
  </x:si>
  <x:si>
    <x:t xml:space="preserve">10:00</x:t>
  </x:si>
  <x:si>
    <x:t xml:space="preserve">11.9401,108.4450</x:t>
  </x:si>
  <x:si>
    <x:t xml:space="preserve">act_0025</x:t>
  </x:si>
  <x:si>
    <x:t xml:space="preserve">Ăn trưa món Đà Lạt, ưu tiên quán dùng vật liệu tái sử dụng</x:t>
  </x:si>
  <x:si>
    <x:t xml:space="preserve">11.9400,108.4380</x:t>
  </x:si>
  <x:si>
    <x:t xml:space="preserve">act_0026</x:t>
  </x:si>
  <x:si>
    <x:t xml:space="preserve">18:30</x:t>
  </x:si>
  <x:si>
    <x:t xml:space="preserve">Dạo chợ đêm Đà Lạt và mua đặc sản địa phương</x:t>
  </x:si>
  <x:si>
    <x:t xml:space="preserve">bi-shop</x:t>
  </x:si>
  <x:si>
    <x:t xml:space="preserve">11.9405,108.4370</x:t>
  </x:si>
  <x:si>
    <x:t xml:space="preserve">act_0027</x:t>
  </x:si>
  <x:si>
    <x:t xml:space="preserve">bi-tree</x:t>
  </x:si>
  <x:si>
    <x:t xml:space="preserve">12.0476,108.4407</x:t>
  </x:si>
  <x:si>
    <x:t xml:space="preserve">act_0028</x:t>
  </x:si>
  <x:si>
    <x:t xml:space="preserve">Ăn trưa món cao nguyên tại Lạc Dương</x:t>
  </x:si>
  <x:si>
    <x:t xml:space="preserve">12.0200,108.4400</x:t>
  </x:si>
  <x:si>
    <x:t xml:space="preserve">act_0029</x:t>
  </x:si>
  <x:si>
    <x:t xml:space="preserve">15:00</x:t>
  </x:si>
  <x:si>
    <x:t xml:space="preserve">Ghé làng Cù Lần, tìm hiểu văn hóa bản địa</x:t>
  </x:si>
  <x:si>
    <x:t xml:space="preserve">bi-people</x:t>
  </x:si>
  <x:si>
    <x:t xml:space="preserve">12.0131,108.3743</x:t>
  </x:si>
  <x:si>
    <x:t xml:space="preserve">act_0030</x:t>
  </x:si>
  <x:si>
    <x:t xml:space="preserve">19:00</x:t>
  </x:si>
  <x:si>
    <x:t xml:space="preserve">Nhận phòng homestay xanh ven rừng thông</x:t>
  </x:si>
  <x:si>
    <x:t xml:space="preserve">11.9000,108.4300</x:t>
  </x:si>
  <x:si>
    <x:t xml:space="preserve">act_0031</x:t>
  </x:si>
  <x:si>
    <x:t xml:space="preserve">Workshop cà phê và nông trại hữu cơ</x:t>
  </x:si>
  <x:si>
    <x:t xml:space="preserve">11.9285,108.5403</x:t>
  </x:si>
  <x:si>
    <x:t xml:space="preserve">act_0032</x:t>
  </x:si>
  <x:si>
    <x:t xml:space="preserve">14:00</x:t>
  </x:si>
  <x:si>
    <x:t xml:space="preserve">Di chuyển xe điện/xe đạp về trung tâm</x:t>
  </x:si>
  <x:si>
    <x:t xml:space="preserve">act_0033</x:t>
  </x:si>
  <x:si>
    <x:t xml:space="preserve">11.9036,108.4276</x:t>
  </x:si>
  <x:si>
    <x:t xml:space="preserve">act_0034</x:t>
  </x:si>
  <x:si>
    <x:t xml:space="preserve">11.9038,108.4350</x:t>
  </x:si>
  <x:si>
    <x:t xml:space="preserve">act_0035</x:t>
  </x:si>
  <x:si>
    <x:t xml:space="preserve">Trải nghiệm thác Datanla và alpine coaster</x:t>
  </x:si>
  <x:si>
    <x:t xml:space="preserve">bi-stars</x:t>
  </x:si>
  <x:si>
    <x:t xml:space="preserve">11.9032,108.4490</x:t>
  </x:si>
  <x:si>
    <x:t xml:space="preserve">act_0036</x:t>
  </x:si>
  <x:si>
    <x:t xml:space="preserve">Nghỉ ven hồ Tuyền Lâm</x:t>
  </x:si>
  <x:si>
    <x:t xml:space="preserve">act_0037</x:t>
  </x:si>
  <x:si>
    <x:t xml:space="preserve">Đi bộ rừng thông và picnic không rác</x:t>
  </x:si>
  <x:si>
    <x:t xml:space="preserve">11.9040,108.4280</x:t>
  </x:si>
  <x:si>
    <x:t xml:space="preserve">act_0038</x:t>
  </x:si>
  <x:si>
    <x:t xml:space="preserve">Xe điện/xe đạp về trung tâm Đà Lạt</x:t>
  </x:si>
  <x:si>
    <x:t xml:space="preserve">act_0039</x:t>
  </x:si>
  <x:si>
    <x:t xml:space="preserve">Săn mây Cầu Đất và thưởng trà nóng</x:t>
  </x:si>
  <x:si>
    <x:t xml:space="preserve">bi-cloud-sun</x:t>
  </x:si>
  <x:si>
    <x:t xml:space="preserve">act_0040</x:t>
  </x:si>
  <x:si>
    <x:t xml:space="preserve">09:30</x:t>
  </x:si>
  <x:si>
    <x:t xml:space="preserve">11.9448,108.4947</x:t>
  </x:si>
  <x:si>
    <x:t xml:space="preserve">act_0041</x:t>
  </x:si>
  <x:si>
    <x:t xml:space="preserve">Ăn trưa tại Trại Mát</x:t>
  </x:si>
  <x:si>
    <x:t xml:space="preserve">11.9435,108.4950</x:t>
  </x:si>
  <x:si>
    <x:t xml:space="preserve">act_0042</x:t>
  </x:si>
  <x:si>
    <x:t xml:space="preserve">16:00</x:t>
  </x:si>
  <x:si>
    <x:t xml:space="preserve">Tham quan vườn hoa theo mùa</x:t>
  </x:si>
  <x:si>
    <x:t xml:space="preserve">bi-flower2</x:t>
  </x:si>
  <x:si>
    <x:t xml:space="preserve">11.9500,108.4500</x:t>
  </x:si>
  <x:si>
    <x:t xml:space="preserve">act_0043</x:t>
  </x:si>
  <x:si>
    <x:t xml:space="preserve">Đạp xe chậm quanh trung tâm</x:t>
  </x:si>
  <x:si>
    <x:t xml:space="preserve">act_0044</x:t>
  </x:si>
  <x:si>
    <x:t xml:space="preserve">Tổng kết hành trình tại Quảng trường Lâm Viên</x:t>
  </x:si>
  <x:si>
    <x:t xml:space="preserve">act_0045</x:t>
  </x:si>
  <x:si>
    <x:t xml:space="preserve">16.1022,108.2786</x:t>
  </x:si>
  <x:si>
    <x:t xml:space="preserve">act_0046</x:t>
  </x:si>
  <x:si>
    <x:t xml:space="preserve">Ăn trưa hải sản Đà Nẵng, chọn quán giảm nhựa</x:t>
  </x:si>
  <x:si>
    <x:t xml:space="preserve">16.0678,108.2208</x:t>
  </x:si>
  <x:si>
    <x:t xml:space="preserve">act_0047</x:t>
  </x:si>
  <x:si>
    <x:t xml:space="preserve">16:30</x:t>
  </x:si>
  <x:si>
    <x:t xml:space="preserve">Tắm biển Mỹ Khê và dọn rác mini 15 phút</x:t>
  </x:si>
  <x:si>
    <x:t xml:space="preserve">16.0544,108.2479</x:t>
  </x:si>
  <x:si>
    <x:t xml:space="preserve">act_0048</x:t>
  </x:si>
  <x:si>
    <x:t xml:space="preserve">20:00</x:t>
  </x:si>
  <x:si>
    <x:t xml:space="preserve">Dạo Cầu Rồng và sông Hàn buổi tối</x:t>
  </x:si>
  <x:si>
    <x:t xml:space="preserve">16.0612,108.2275</x:t>
  </x:si>
  <x:si>
    <x:t xml:space="preserve">act_0049</x:t>
  </x:si>
  <x:si>
    <x:t xml:space="preserve">Xe ghép/xe điện di chuyển nội đô</x:t>
  </x:si>
  <x:si>
    <x:t xml:space="preserve">bi-bus-front</x:t>
  </x:si>
  <x:si>
    <x:t xml:space="preserve">16.0471,108.2068</x:t>
  </x:si>
  <x:si>
    <x:t xml:space="preserve">Xe cá nhân/taxi xăng cho từng nhóm khách</x:t>
  </x:si>
  <x:si>
    <x:t xml:space="preserve">act_0050</x:t>
  </x:si>
  <x:si>
    <x:t xml:space="preserve">11:30</x:t>
  </x:si>
  <x:si>
    <x:t xml:space="preserve">Ăn trưa địa phương, trả khách</x:t>
  </x:si>
  <x:si>
    <x:t xml:space="preserve">act_0051</x:t>
  </x:si>
  <x:si>
    <x:t xml:space="preserve">Xe ghép đi Bà Nà Hills</x:t>
  </x:si>
  <x:si>
    <x:t xml:space="preserve">act_0052</x:t>
  </x:si>
  <x:si>
    <x:t xml:space="preserve">Tham quan Cầu Vàng trong mây</x:t>
  </x:si>
  <x:si>
    <x:t xml:space="preserve">15.9950,107.9970</x:t>
  </x:si>
  <x:si>
    <x:t xml:space="preserve">act_0053</x:t>
  </x:si>
  <x:si>
    <x:t xml:space="preserve">Ăn trưa buffet trong khu du lịch</x:t>
  </x:si>
  <x:si>
    <x:t xml:space="preserve">act_0054</x:t>
  </x:si>
  <x:si>
    <x:t xml:space="preserve">Xe ghép về trung tâm Đà Nẵng</x:t>
  </x:si>
  <x:si>
    <x:t xml:space="preserve">act_0055</x:t>
  </x:si>
  <x:si>
    <x:t xml:space="preserve">Lớp làm vườn và nấu ăn làng rau Trà Quế</x:t>
  </x:si>
  <x:si>
    <x:t xml:space="preserve">15.8995,108.3495</x:t>
  </x:si>
  <x:si>
    <x:t xml:space="preserve">act_0056</x:t>
  </x:si>
  <x:si>
    <x:t xml:space="preserve">15.8737,108.3828</x:t>
  </x:si>
  <x:si>
    <x:t xml:space="preserve">act_0057</x:t>
  </x:si>
  <x:si>
    <x:t xml:space="preserve">Dạo phố cổ Hội An buổi tối</x:t>
  </x:si>
  <x:si>
    <x:t xml:space="preserve">bi-lamp</x:t>
  </x:si>
  <x:si>
    <x:t xml:space="preserve">15.8801,108.3380</x:t>
  </x:si>
  <x:si>
    <x:t xml:space="preserve">act_0058</x:t>
  </x:si>
  <x:si>
    <x:t xml:space="preserve">21:00</x:t>
  </x:si>
  <x:si>
    <x:t xml:space="preserve">Nhận phòng eco homestay gần phố cổ</x:t>
  </x:si>
  <x:si>
    <x:t xml:space="preserve">15.8790,108.3350</x:t>
  </x:si>
  <x:si>
    <x:t xml:space="preserve">act_0059</x:t>
  </x:si>
  <x:si>
    <x:t xml:space="preserve">Đi bộ chợ Hội An và thử cà phê địa phương</x:t>
  </x:si>
  <x:si>
    <x:t xml:space="preserve">act_0060</x:t>
  </x:si>
  <x:si>
    <x:t xml:space="preserve">Xe ghép về Đà Nẵng</x:t>
  </x:si>
  <x:si>
    <x:t xml:space="preserve">act_0061</x:t>
  </x:si>
  <x:si>
    <x:t xml:space="preserve">16.0000,108.2600</x:t>
  </x:si>
  <x:si>
    <x:t xml:space="preserve">act_0062</x:t>
  </x:si>
  <x:si>
    <x:t xml:space="preserve">Xe ghép đi Hội An</x:t>
  </x:si>
  <x:si>
    <x:t xml:space="preserve">act_0063</x:t>
  </x:si>
  <x:si>
    <x:t xml:space="preserve">Dạo phố cổ Hội An</x:t>
  </x:si>
  <x:si>
    <x:t xml:space="preserve">act_0064</x:t>
  </x:si>
  <x:si>
    <x:t xml:space="preserve">Nghỉ eco homestay Hội An</x:t>
  </x:si>
  <x:si>
    <x:t xml:space="preserve">act_0065</x:t>
  </x:si>
  <x:si>
    <x:t xml:space="preserve">Cù Lao Chàm snorkeling ít rác, không chạm san hô</x:t>
  </x:si>
  <x:si>
    <x:t xml:space="preserve">bi-tsunami</x:t>
  </x:si>
  <x:si>
    <x:t xml:space="preserve">15.9541,108.5224</x:t>
  </x:si>
  <x:si>
    <x:t xml:space="preserve">act_0066</x:t>
  </x:si>
  <x:si>
    <x:t xml:space="preserve">Ăn tối hải sản địa phương</x:t>
  </x:si>
  <x:si>
    <x:t xml:space="preserve">act_0067</x:t>
  </x:si>
  <x:si>
    <x:t xml:space="preserve">Lớp nấu ăn Trà Quế và tổng kết hành trình xanh</x:t>
  </x:si>
  <x:si>
    <x:t xml:space="preserve">ID_TourBooking</x:t>
  </x:si>
  <x:si>
    <x:t xml:space="preserve">booking_date</x:t>
  </x:si>
  <x:si>
    <x:t xml:space="preserve">guests</x:t>
  </x:si>
  <x:si>
    <x:t xml:space="preserve">value</x:t>
  </x:si>
  <x:si>
    <x:t xml:space="preserve">status</x:t>
  </x:si>
  <x:si>
    <x:t xml:space="preserve">evoucher_code</x:t>
  </x:si>
  <x:si>
    <x:t xml:space="preserve">escrow_status</x:t>
  </x:si>
  <x:si>
    <x:t xml:space="preserve">BKGT_001</x:t>
  </x:si>
  <x:si>
    <x:t xml:space="preserve">2026-08-01</x:t>
  </x:si>
  <x:si>
    <x:t xml:space="preserve">completed</x:t>
  </x:si>
  <x:si>
    <x:t xml:space="preserve">EV-DL-0001</x:t>
  </x:si>
  <x:si>
    <x:t xml:space="preserve">released</x:t>
  </x:si>
  <x:si>
    <x:t xml:space="preserve">BKGT_002</x:t>
  </x:si>
  <x:si>
    <x:t xml:space="preserve">2026-08-04</x:t>
  </x:si>
  <x:si>
    <x:t xml:space="preserve">deposit</x:t>
  </x:si>
  <x:si>
    <x:t xml:space="preserve">EV-PY-0002</x:t>
  </x:si>
  <x:si>
    <x:t xml:space="preserve">holding</x:t>
  </x:si>
  <x:si>
    <x:t xml:space="preserve">BKGT_003</x:t>
  </x:si>
  <x:si>
    <x:t xml:space="preserve">2026-08-09</x:t>
  </x:si>
  <x:si>
    <x:t xml:space="preserve">pending</x:t>
  </x:si>
  <x:si>
    <x:t xml:space="preserve">EV-HA-0003</x:t>
  </x:si>
  <x:si>
    <x:t xml:space="preserve">BKGT_004</x:t>
  </x:si>
  <x:si>
    <x:t xml:space="preserve">2026-08-15</x:t>
  </x:si>
  <x:si>
    <x:t xml:space="preserve">EV-DN-0004</x:t>
  </x:si>
  <x:si>
    <x:t xml:space="preserve">BKGT_005</x:t>
  </x:si>
  <x:si>
    <x:t xml:space="preserve">2026-08-18</x:t>
  </x:si>
  <x:si>
    <x:t xml:space="preserve">EV-PY-0005</x:t>
  </x:si>
  <x:si>
    <x:t xml:space="preserve">BKGT_006</x:t>
  </x:si>
  <x:si>
    <x:t xml:space="preserve">2026-08-21</x:t>
  </x:si>
  <x:si>
    <x:t xml:space="preserve">EV-DL-0006</x:t>
  </x:si>
  <x:si>
    <x:t xml:space="preserve">BKGT_007</x:t>
  </x:si>
  <x:si>
    <x:t xml:space="preserve">2026-08-25</x:t>
  </x:si>
  <x:si>
    <x:t xml:space="preserve">EV-DN-0007</x:t>
  </x:si>
  <x:si>
    <x:t xml:space="preserve">BKGT_008</x:t>
  </x:si>
  <x:si>
    <x:t xml:space="preserve">2026-08-28</x:t>
  </x:si>
  <x:si>
    <x:t xml:space="preserve">EV-PY-0008</x:t>
  </x:si>
  <x:si>
    <x:t xml:space="preserve">BKGT_009</x:t>
  </x:si>
  <x:si>
    <x:t xml:space="preserve">2026-09-02</x:t>
  </x:si>
  <x:si>
    <x:t xml:space="preserve">EV-DL-0009</x:t>
  </x:si>
  <x:si>
    <x:t xml:space="preserve">BKGT_010</x:t>
  </x:si>
  <x:si>
    <x:t xml:space="preserve">2026-09-06</x:t>
  </x:si>
  <x:si>
    <x:t xml:space="preserve">EV-HA-0010</x:t>
  </x:si>
  <x:si>
    <x:t xml:space="preserve">BKGT_011</x:t>
  </x:si>
  <x:si>
    <x:t xml:space="preserve">2026-09-10</x:t>
  </x:si>
  <x:si>
    <x:t xml:space="preserve">EV-PY-0011</x:t>
  </x:si>
  <x:si>
    <x:t xml:space="preserve">BKGT_012</x:t>
  </x:si>
  <x:si>
    <x:t xml:space="preserve">2026-09-12</x:t>
  </x:si>
  <x:si>
    <x:t xml:space="preserve">EV-DL-0012</x:t>
  </x:si>
  <x:si>
    <x:t xml:space="preserve">landmark</x:t>
  </x:si>
  <x:si>
    <x:t xml:space="preserve">source_page</x:t>
  </x:si>
  <x:si>
    <x:t xml:space="preserve">source_note</x:t>
  </x:si>
  <x:si>
    <x:t xml:space="preserve">Gành Đá Đĩa</x:t>
  </x:si>
  <x:si>
    <x:t xml:space="preserve">Đầm Ô Loan</x:t>
  </x:si>
  <x:si>
    <x:t xml:space="preserve">Mũi Điện</x:t>
  </x:si>
  <x:si>
    <x:t xml:space="preserve">Bãi Xép</x:t>
  </x:si>
  <x:si>
    <x:t xml:space="preserve">Hòn Yến</x:t>
  </x:si>
  <x:si>
    <x:t xml:space="preserve">Hồ Xuân Hương</x:t>
  </x:si>
  <x:si>
    <x:t xml:space="preserve">Quảng trường Lâm Viên</x:t>
  </x:si>
  <x:si>
    <x:t xml:space="preserve">Langbiang</x:t>
  </x:si>
  <x:si>
    <x:t xml:space="preserve">Hồ Tuyền Lâm</x:t>
  </x:si>
  <x:si>
    <x:t xml:space="preserve">Cầu Đất</x:t>
  </x:si>
  <x:si>
    <x:t xml:space="preserve">Cầu Rồng</x:t>
  </x:si>
  <x:si>
    <x:t xml:space="preserve">Cầu Vàng</x:t>
  </x:si>
  <x:si>
    <x:t xml:space="preserve">Hội An</x:t>
  </x:si>
  <x:si>
    <x:t xml:space="preserve">Ngũ Hành Sơn</x:t>
  </x:si>
  <x:si>
    <x:t xml:space="preserve">Cù Lao Chàm</x:t>
  </x:si>
  <x:si>
    <x:t xml:space="preserve">table_name</x:t>
  </x:si>
  <x:si>
    <x:t xml:space="preserve">important_fields</x:t>
  </x:si>
  <x:si>
    <x:t xml:space="preserve">usage_note</x:t>
  </x:si>
  <x:si>
    <x:t xml:space="preserve">Schedule</x:t>
  </x:si>
  <x:si>
    <x:t xml:space="preserve">ID_Schedule, tour_name, destination, days, discount, carbon, image_url, tour_description, votes_count</x:t>
  </x:si>
  <x:si>
    <x:t xml:space="preserve">Khung thông tin tour gốc để hiển thị danh sách tour.</x:t>
  </x:si>
  <x:si>
    <x:t xml:space="preserve">ScheduleSample</x:t>
  </x:si>
  <x:si>
    <x:t xml:space="preserve">ID_Schedule, ID_Provider, cost, old_cost, rating, votes_count</x:t>
  </x:si>
  <x:si>
    <x:t xml:space="preserve">Bảng giá và rating cho tour mẫu của đối tác.</x:t>
  </x:si>
  <x:si>
    <x:t xml:space="preserve">GreenService</x:t>
  </x:si>
  <x:si>
    <x:t xml:space="preserve">ID_Service, ID_Vender, name_service, type, cost, destination, carbon, image_url, rating, bookings_count, current_data</x:t>
  </x:si>
  <x:si>
    <x:t xml:space="preserve">Các dịch vụ xanh dùng trong hoạt động hoặc đặt lẻ.</x:t>
  </x:si>
  <x:si>
    <x:t xml:space="preserve">ScheduleActivity</x:t>
  </x:si>
  <x:si>
    <x:t xml:space="preserve">ID_Activity, ID_Service, ID_Schedule, day_number, time, activity_name, activity_cost, carbon, icon, type, coordinates</x:t>
  </x:si>
  <x:si>
    <x:t xml:space="preserve">Hoạt động theo ngày/giờ trong từng tour.</x:t>
  </x:si>
  <x:si>
    <x:t xml:space="preserve">Provider/Vender/User</x:t>
  </x:si>
  <x:si>
    <x:t xml:space="preserve">Thông tin đối tác và tài khoản provider/traveler</x:t>
  </x:si>
  <x:si>
    <x:t xml:space="preserve">Dữ liệu phụ trợ để liên kết tour và nhà cung cấp.</x:t>
  </x:si>
  <x:si>
    <x:t xml:space="preserve">BadgeSchedule/BadgeService</x:t>
  </x:si>
  <x:si>
    <x:t xml:space="preserve">ID_Badge + ID_Schedule/ID_Service</x:t>
  </x:si>
  <x:si>
    <x:t xml:space="preserve">Nhãn xanh cho tour/dịch vụ giúp lọc UI.</x:t>
  </x:si>
  <x:si>
    <x:t xml:space="preserve">ImageSources</x:t>
  </x:si>
  <x:si>
    <x:t xml:space="preserve">landmark, image_url, source_page</x:t>
  </x:si>
  <x:si>
    <x:t xml:space="preserve">Nguồn URL ảnh đúng theo điểm tham quan chính.</x:t>
  </x:si>
  <x:si>
    <x:t xml:space="preserve">source_type</x:t>
  </x:si>
  <x:si>
    <x:t xml:space="preserve">source_name</x:t>
  </x:si>
  <x:si>
    <x:t xml:space="preserve">used_for</x:t>
  </x:si>
  <x:si>
    <x:t xml:space="preserve">source_url</x:t>
  </x:si>
  <x:si>
    <x:t xml:space="preserve">notes</x:t>
  </x:si>
  <x:si>
    <x:t xml:space="preserve">SRC_GOVUK_2025</x:t>
  </x:si>
  <x:si>
    <x:t xml:space="preserve">Official conversion factors / methodology</x:t>
  </x:si>
  <x:si>
    <x:t xml:space="preserve">UK Government GHG Conversion Factors 2025</x:t>
  </x:si>
  <x:si>
    <x:t xml:space="preserve">Dùng làm nền tảng hệ số phát thải theo activity data: khoảng cách di chuyển, nhiên liệu, điện tiêu thụ.</x:t>
  </x:si>
  <x:si>
    <x:t xml:space="preserve">Nguồn cập nhật 2025, có bản condensed/full/flat file và methodology. Không phải bài báo học thuật nhưng là chuẩn dữ liệu thực hành mạnh.</x:t>
  </x:si>
  <x:si>
    <x:t xml:space="preserve">SRC_IPCC_EFDB_2025</x:t>
  </x:si>
  <x:si>
    <x:t xml:space="preserve">Scientific emission-factor database</x:t>
  </x:si>
  <x:si>
    <x:t xml:space="preserve">IPCC Emission Factor Database</x:t>
  </x:si>
  <x:si>
    <x:t xml:space="preserve">Dùng để giải thích nguyên tắc sử dụng emission factor có truy xuất nguồn và đánh giá độ phù hợp theo bối cảnh.</x:t>
  </x:si>
  <x:si>
    <x:t xml:space="preserve">https://www.ipcc-nggip.iges.or.jp/EFDB/main.php</x:t>
  </x:si>
  <x:si>
    <x:t xml:space="preserve">IPCC ghi EFDB là kho/libraries emission factors hỗ trợ transparency, traceability, accuracy, stability; người dùng cần tự đánh giá tính phù hợp.</x:t>
  </x:si>
  <x:si>
    <x:t xml:space="preserve">SRC_TRS_2024</x:t>
  </x:si>
  <x:si>
    <x:t xml:space="preserve">Recent academic / tourism recommender</x:t>
  </x:si>
  <x:si>
    <x:t xml:space="preserve">Banerjee et al. (2024), Modeling Sustainable City Trips</x:t>
  </x:si>
  <x:si>
    <x:t xml:space="preserve">Dùng để biện minh việc đưa CO2e theo phương thức di chuyển vào hệ thống gợi ý/lịch trình du lịch.</x:t>
  </x:si>
  <x:si>
    <x:t xml:space="preserve">https://arxiv.org/abs/2403.18604</x:t>
  </x:si>
  <x:si>
    <x:t xml:space="preserve">Bài 2024 tích hợp CO2e emissions cho các transportation modes vào tourism recommender systems.</x:t>
  </x:si>
  <x:si>
    <x:t xml:space="preserve">SRC_UI_2024</x:t>
  </x:si>
  <x:si>
    <x:t xml:space="preserve">Recent academic / user behavior</x:t>
  </x:si>
  <x:si>
    <x:t xml:space="preserve">Mohanty et al. (2024), Save A Tree or 6 kg of CO2?</x:t>
  </x:si>
  <x:si>
    <x:t xml:space="preserve">Dùng để biện minh việc hiển thị thông tin kg CO2 trong UI vì thông tin phát thải ảnh hưởng lựa chọn xanh.</x:t>
  </x:si>
  <x:si>
    <x:t xml:space="preserve">https://arxiv.org/abs/2407.08897</x:t>
  </x:si>
  <x:si>
    <x:t xml:space="preserve">Nghiên cứu scenario surveys cho ride-hailing/car rentals, cho thấy thông tin phát thải giúp thúc đẩy lựa chọn eco-friendly.</x:t>
  </x:si>
  <x:si>
    <x:t xml:space="preserve">Recent academic / accommodation</x:t>
  </x:si>
  <x:si>
    <x:t xml:space="preserve">Bentley et al. (2024), Address-Specific Sustainable Accommodation Choice</x:t>
  </x:si>
  <x:si>
    <x:t xml:space="preserve">Dùng cho lodging/stay; nhắc rằng ước tính lưu trú nên có dữ liệu địa chỉ/cơ sở thực tế, nên trong dataset chỉ là estimate.</x:t>
  </x:si>
  <x:si>
    <x:t xml:space="preserve">https://arxiv.org/abs/2405.12934</x:t>
  </x:si>
  <x:si>
    <x:t xml:space="preserve">Bài 2024 phê bình cách gán CO2 giống nhau theo loại lưu trú/toàn quốc và đề xuất metric dựa trên real-world address-specific data.</x:t>
  </x:si>
  <x:si>
    <x:t xml:space="preserve">Recent academic / food LCA</x:t>
  </x:si>
  <x:si>
    <x:t xml:space="preserve">Aslan et al. (2025), Carbon Footprint Wizard</x:t>
  </x:si>
  <x:si>
    <x:t xml:space="preserve">Dùng cho food/activity meal; nhắc carbon footprint của món ăn nên tính bằng LCA và cơ sở dữ liệu công khai.</x:t>
  </x:si>
  <x:si>
    <x:t xml:space="preserve">https://arxiv.org/abs/2509.07733</x:t>
  </x:si>
  <x:si>
    <x:t xml:space="preserve">Bài 2025 kết hợp LCA và public databases để ước tính cradle-to-gate carbon footprint của food products/composite meals.</x:t>
  </x:si>
  <x:si>
    <x:t xml:space="preserve">SRC_EV_2024</x:t>
  </x:si>
  <x:si>
    <x:t xml:space="preserve">Recent academic / EV operational emissions</x:t>
  </x:si>
  <x:si>
    <x:t xml:space="preserve">Deng et al. (2024), PHEV operational carbon perspective</x:t>
  </x:si>
  <x:si>
    <x:t xml:space="preserve">Dùng để ghi chú rằng phát thải xe điện/phương tiện điện phụ thuộc điện lưới và real-world energy use; không nên xem EV bằng 0 tuyệt đối.</x:t>
  </x:si>
  <x:si>
    <x:t xml:space="preserve">https://arxiv.org/abs/2405.07308</x:t>
  </x:si>
  <x:si>
    <x:t xml:space="preserve">Bài 2024 đo real-world energy use và CO2 emissions của PHEV; cho thấy phát thải vận hành phụ thuộc điện và xăng thực tế.</x:t>
  </x:si>
  <x:si>
    <x:t xml:space="preserve">SRC_REUTERS_TOURISM_2024</x:t>
  </x:si>
  <x:si>
    <x:t xml:space="preserve">Current industry/policy context</x:t>
  </x:si>
  <x:si>
    <x:t xml:space="preserve">Reuters (2024), COP29 tourism climate declaration</x:t>
  </x:si>
  <x:si>
    <x:t xml:space="preserve">Dùng làm bối cảnh ngành: du lịch cần được đưa vào hành động khí hậu.</x:t>
  </x:si>
  <x:si>
    <x:t xml:space="preserve">https://www.reuters.com/sustainability/more-than-50-countries-sign-un-sustainable-tourism-declaration-2024-11-20/</x:t>
  </x:si>
  <x:si>
    <x:t xml:space="preserve">Nguồn tin ngành/chính sách, không dùng làm hệ số tính carbon.</x:t>
  </x:si>
  <x:si>
    <x:t xml:space="preserve">assumption_id</x:t>
  </x:si>
  <x:si>
    <x:t xml:space="preserve">activity_type</x:t>
  </x:si>
  <x:si>
    <x:t xml:space="preserve">unit</x:t>
  </x:si>
  <x:si>
    <x:t xml:space="preserve">formula</x:t>
  </x:si>
  <x:si>
    <x:t xml:space="preserve">ASSUMP_TRANSPORT_EV</x:t>
  </x:si>
  <x:si>
    <x:t xml:space="preserve">private gasoline car/taxi</x:t>
  </x:si>
  <x:si>
    <x:t xml:space="preserve">electric vehicle/group EV</x:t>
  </x:si>
  <x:si>
    <x:t xml:space="preserve">passenger-km</x:t>
  </x:si>
  <x:si>
    <x:t xml:space="preserve">Ước tính vận hành; cần thay bằng hệ số Việt Nam/nhà xe nếu có.</x:t>
  </x:si>
  <x:si>
    <x:t xml:space="preserve">ASSUMP_TRANSPORT_GROUP</x:t>
  </x:si>
  <x:si>
    <x:t xml:space="preserve">shared van/coach/group transfer</x:t>
  </x:si>
  <x:si>
    <x:t xml:space="preserve">Dùng cho xe ghép/ghép đoàn; hệ số phụ thuộc số khách thực tế.</x:t>
  </x:si>
  <x:si>
    <x:t xml:space="preserve">ASSUMP_WALK_CYCLE</x:t>
  </x:si>
  <x:si>
    <x:t xml:space="preserve">attraction/experience</x:t>
  </x:si>
  <x:si>
    <x:t xml:space="preserve">short private car/taxi hop</x:t>
  </x:si>
  <x:si>
    <x:t xml:space="preserve">walk/bicycle/trekking/SUP</x:t>
  </x:si>
  <x:si>
    <x:t xml:space="preserve">Chỉ tính operational emissions avoided; không tính embodied emissions của xe đạp/SUP.</x:t>
  </x:si>
  <x:si>
    <x:t xml:space="preserve">ASSUMP_FOOD_LOW_WASTE</x:t>
  </x:si>
  <x:si>
    <x:t xml:space="preserve">generic tourist meal with higher waste/single-use packaging</x:t>
  </x:si>
  <x:si>
    <x:t xml:space="preserve">local/low-waste meal or cooking workshop</x:t>
  </x:si>
  <x:si>
    <x:t xml:space="preserve">meal</x:t>
  </x:si>
  <x:si>
    <x:t xml:space="preserve">Ẩm thực có dao động lớn theo nguyên liệu; cần menu cụ thể để LCA chính xác.</x:t>
  </x:si>
  <x:si>
    <x:t xml:space="preserve">ASSUMP_LODGING_ECO</x:t>
  </x:si>
  <x:si>
    <x:t xml:space="preserve">generic hotel night</x:t>
  </x:si>
  <x:si>
    <x:t xml:space="preserve">eco homestay / low-waste stay</x:t>
  </x:si>
  <x:si>
    <x:t xml:space="preserve">guest-night</x:t>
  </x:si>
  <x:si>
    <x:t xml:space="preserve">Lưu trú cần dữ liệu điện/nước/phòng thực tế; file đang dùng estimate.</x:t>
  </x:si>
  <x:si>
    <x:t xml:space="preserve">ASSUMP_LOW_IMPACT_ATTRACTION</x:t>
  </x:si>
  <x:si>
    <x:t xml:space="preserve">standard motorized/consumption-heavy visit</x:t>
  </x:si>
  <x:si>
    <x:t xml:space="preserve">low-impact guided visit / clean-up / conservation behavior</x:t>
  </x:si>
  <x:si>
    <x:t xml:space="preserve">activity</x:t>
  </x:si>
  <x:si>
    <x:t xml:space="preserve">Không phải đo carbon trực tiếp; là điểm ước tính hành vi xanh.</x:t>
  </x:si>
  <x:si>
    <x:t xml:space="preserve">carbon_kgCO2e_saving</x:t>
  </x:si>
</x:sst>
</file>

<file path=xl/styles.xml><?xml version="1.0" encoding="utf-8"?>
<x:styleSheet xmlns:x="http://schemas.openxmlformats.org/spreadsheetml/2006/main">
  <x:numFmts count="8">
    <x:numFmt numFmtId="164" formatCode="#,##0\ &quot;VNĐ&quot;"/>
    <x:numFmt numFmtId="165" formatCode="0.00\ &quot;kg CO2&quot;"/>
    <x:numFmt numFmtId="166" formatCode="yyyy\-mm\-dd"/>
    <x:numFmt numFmtId="168" formatCode="0.000"/>
    <x:numFmt numFmtId="200" formatCode="#,##0&quot;đ&quot;"/>
    <x:numFmt numFmtId="201" formatCode="0%"/>
    <x:numFmt numFmtId="202" formatCode="dd/mm/yyyy"/>
    <x:numFmt numFmtId="203" formatCode="dd/mm/yyyy hh:mm"/>
  </x:numFmts>
  <x:fonts count="14">
    <x:font>
      <x:sz val="11"/>
      <x:name val="Carlito"/>
    </x:font>
    <x:font>
      <x:sz val="11"/>
      <x:color rgb="FF1F2937"/>
      <x:name val="Times New Roman"/>
    </x:font>
    <x:font>
      <x:b/>
      <x:sz val="11"/>
      <x:color rgb="FFFFFFFF"/>
      <x:name val="Times New Roman"/>
    </x:font>
    <x:font>
      <x:b/>
      <x:sz val="18"/>
      <x:color rgb="FFFFFFFF"/>
      <x:name val="Times New Roman"/>
    </x:font>
    <x:font>
      <x:b/>
      <x:i/>
      <x:sz val="11"/>
      <x:color rgb="FF1F2937"/>
      <x:name val="Times New Roman"/>
    </x:font>
    <x:font>
      <x:i/>
      <x:sz val="11"/>
      <x:color rgb="FF1F2937"/>
      <x:name val="Times New Roman"/>
    </x:font>
    <x:font>
      <x:b/>
      <x:sz val="12"/>
      <x:color rgb="FFFFFFFF"/>
      <x:name val="Times New Roman"/>
    </x:font>
    <x:font>
      <x:b/>
      <x:sz val="11"/>
      <x:color rgb="FF1F6F4A"/>
      <x:name val="Times New Roman"/>
    </x:font>
    <x:font>
      <x:sz val="10"/>
      <x:color rgb="FF1F2937"/>
      <x:name val="Times New Roman"/>
    </x:font>
    <x:font>
      <x:sz val="11"/>
      <x:name val="Times New Roman"/>
    </x:font>
    <x:font>
      <x:b/>
      <x:sz val="10"/>
      <x:color rgb="FFFFFFFF"/>
      <x:name val="Times New Roman"/>
    </x:font>
    <x:font>
      <x:b/>
      <x:sz val="11"/>
      <x:color rgb="FFFFFFFF"/>
      <x:name val="Carlito"/>
    </x:font>
    <x:font>
      <x:b/>
      <x:sz val="14"/>
      <x:color rgb="FFFFFFFF"/>
      <x:name val="Carlito"/>
    </x:font>
    <x:font>
      <x:b/>
      <x:sz val="11"/>
      <x:color rgb="FF14533C"/>
      <x:name val="Carlito"/>
    </x:font>
  </x:fonts>
  <x:fills count="17">
    <x:fill>
      <x:patternFill patternType="none"/>
    </x:fill>
    <x:fill>
      <x:patternFill patternType="gray125"/>
    </x:fill>
    <x:fill>
      <x:patternFill patternType="solid">
        <x:fgColor rgb="FF1F6F4A"/>
      </x:patternFill>
    </x:fill>
    <x:fill>
      <x:patternFill patternType="solid">
        <x:fgColor rgb="FFF6FBF8"/>
      </x:patternFill>
    </x:fill>
    <x:fill>
      <x:patternFill patternType="solid">
        <x:fgColor rgb="FF2E8B57"/>
      </x:patternFill>
    </x:fill>
    <x:fill>
      <x:patternFill patternType="solid">
        <x:fgColor rgb="FFE8F2FF"/>
      </x:patternFill>
    </x:fill>
    <x:fill>
      <x:patternFill patternType="solid">
        <x:fgColor rgb="FFFFF4D6"/>
      </x:patternFill>
    </x:fill>
    <x:fill>
      <x:patternFill patternType="solid">
        <x:fgColor rgb="FFF5F7F6"/>
      </x:patternFill>
    </x:fill>
    <x:fill>
      <x:patternFill patternType="solid">
        <x:fgColor rgb="FFFFFFFF"/>
      </x:patternFill>
    </x:fill>
    <x:fill>
      <x:patternFill patternType="solid">
        <x:fgColor rgb="FF0F766E"/>
      </x:patternFill>
    </x:fill>
    <x:fill>
      <x:patternFill patternType="solid">
        <x:fgColor rgb="FF176B4D"/>
      </x:patternFill>
    </x:fill>
    <x:fill>
      <x:patternFill patternType="solid">
        <x:fgColor rgb="FFE8F5EE"/>
      </x:patternFill>
    </x:fill>
    <x:fill>
      <x:patternFill patternType="solid">
        <x:fgColor rgb="FFE8F5EE"/>
      </x:patternFill>
    </x:fill>
    <x:fill>
      <x:patternFill patternType="solid">
        <x:fgColor rgb="FF176B4D"/>
      </x:patternFill>
    </x:fill>
    <x:fill>
      <x:patternFill patternType="solid">
        <x:fgColor rgb="FFE8F5EE"/>
      </x:patternFill>
    </x:fill>
    <x:fill>
      <x:patternFill patternType="solid">
        <x:fgColor rgb="FFE8F5EE"/>
      </x:patternFill>
    </x:fill>
    <x:fill>
      <x:patternFill patternType="solid">
        <x:fgColor rgb="FF176B4D"/>
      </x:patternFill>
    </x:fill>
  </x:fills>
  <x:borders count="26">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25">
    <x:xf numFmtId="0" fontId="0" fillId="0" borderId="0" xfId="0"/>
    <x:xf numFmtId="0" fontId="0" fillId="0" borderId="0" xfId="0" applyAlignment="1">
      <x:alignment wrapText="1"/>
    </x:xf>
    <x:xf numFmtId="0" fontId="1" fillId="0" borderId="0" xfId="0" applyFont="1" applyAlignment="1">
      <x:alignment vertical="top" wrapText="1"/>
    </x:xf>
    <x:xf numFmtId="0" fontId="2" fillId="2" borderId="0" xfId="0" applyFont="1" applyFill="1" applyAlignment="1">
      <x:alignment horizontal="center" vertical="top" wrapText="1"/>
    </x:xf>
    <x:xf numFmtId="0" fontId="2" fillId="2" borderId="0" xfId="0" applyFont="1" applyFill="1" applyAlignment="1">
      <x:alignment horizontal="center" vertical="center" wrapText="1"/>
    </x:xf>
    <x:xf numFmtId="166" fontId="1" fillId="0" borderId="0" xfId="0" applyNumberFormat="1" applyFont="1" applyAlignment="1">
      <x:alignment vertical="top" wrapText="1"/>
    </x:xf>
    <x:xf numFmtId="2" fontId="1" fillId="0" borderId="0" xfId="0" applyNumberFormat="1" applyFont="1" applyAlignment="1">
      <x:alignment vertical="top" wrapText="1"/>
    </x:xf>
    <x:xf numFmtId="0" fontId="1" fillId="3" borderId="0" xfId="0" applyFont="1" applyFill="1" applyAlignment="1">
      <x:alignment vertical="top" wrapText="1"/>
    </x:xf>
    <x:xf numFmtId="0" fontId="4" fillId="3" borderId="0" xfId="0" applyFont="1" applyFill="1" applyAlignment="1">
      <x:alignment vertical="top" wrapText="1"/>
    </x:xf>
    <x:xf numFmtId="0" fontId="6" fillId="4" borderId="0" xfId="0" applyFont="1" applyFill="1" applyAlignment="1">
      <x:alignment horizontal="center" vertical="top" wrapText="1"/>
    </x:xf>
    <x:xf numFmtId="0" fontId="1" fillId="5" borderId="0" xfId="0" applyFont="1" applyFill="1" applyAlignment="1">
      <x:alignment vertical="top" wrapText="1"/>
    </x:xf>
    <x:xf numFmtId="0" fontId="1" fillId="6" borderId="0" xfId="0" applyFont="1" applyFill="1" applyAlignment="1">
      <x:alignment vertical="top" wrapText="1"/>
    </x:xf>
    <x:xf numFmtId="164" fontId="1" fillId="6" borderId="0" xfId="0" applyNumberFormat="1" applyFont="1" applyFill="1" applyAlignment="1">
      <x:alignment vertical="top" wrapText="1"/>
    </x:xf>
    <x:xf numFmtId="165" fontId="1" fillId="6" borderId="0" xfId="0" applyNumberFormat="1" applyFont="1" applyFill="1" applyAlignment="1">
      <x:alignment vertical="top" wrapText="1"/>
    </x:xf>
    <x:xf numFmtId="0" fontId="1" fillId="7" borderId="0" xfId="0" applyFont="1" applyFill="1" applyAlignment="1">
      <x:alignment vertical="top" wrapText="1"/>
    </x:xf>
    <x:xf numFmtId="0" fontId="7" fillId="7" borderId="0" xfId="0" applyFont="1" applyFill="1" applyAlignment="1">
      <x:alignment vertical="top" wrapText="1"/>
    </x:xf>
    <x:xf numFmtId="0" fontId="8" fillId="3" borderId="0" xfId="0" applyFont="1" applyFill="1" applyAlignment="1">
      <x:alignment vertical="top" wrapText="1"/>
    </x:xf>
    <x:xf numFmtId="2" fontId="8" fillId="3" borderId="0" xfId="0" applyNumberFormat="1" applyFont="1" applyFill="1" applyAlignment="1">
      <x:alignment vertical="top" wrapText="1"/>
    </x:xf>
    <x:xf numFmtId="0" fontId="8" fillId="8" borderId="0" xfId="0" applyFont="1" applyFill="1" applyAlignment="1">
      <x:alignment vertical="top" wrapText="1"/>
    </x:xf>
    <x:xf numFmtId="2" fontId="8" fillId="8" borderId="0" xfId="0" applyNumberFormat="1" applyFont="1" applyFill="1" applyAlignment="1">
      <x:alignment vertical="top" wrapText="1"/>
    </x:xf>
    <x:xf numFmtId="168" fontId="8" fillId="3" borderId="0" xfId="0" applyNumberFormat="1" applyFont="1" applyFill="1" applyAlignment="1">
      <x:alignment vertical="top" wrapText="1"/>
    </x:xf>
    <x:xf numFmtId="168" fontId="8" fillId="8" borderId="0" xfId="0" applyNumberFormat="1" applyFont="1" applyFill="1" applyAlignment="1">
      <x:alignment vertical="top" wrapText="1"/>
    </x:xf>
    <x:xf numFmtId="166" fontId="8" fillId="3" borderId="0" xfId="0" applyNumberFormat="1" applyFont="1" applyFill="1" applyAlignment="1">
      <x:alignment vertical="top" wrapText="1"/>
    </x:xf>
    <x:xf numFmtId="166" fontId="8" fillId="8" borderId="0" xfId="0" applyNumberFormat="1" applyFont="1" applyFill="1" applyAlignment="1">
      <x:alignment vertical="top" wrapText="1"/>
    </x:xf>
    <x:xf numFmtId="1" fontId="8" fillId="3" borderId="0" xfId="0" applyNumberFormat="1" applyFont="1" applyFill="1" applyAlignment="1">
      <x:alignment vertical="top" wrapText="1"/>
    </x:xf>
    <x:xf numFmtId="1" fontId="8" fillId="8" borderId="0" xfId="0" applyNumberFormat="1" applyFont="1" applyFill="1" applyAlignment="1">
      <x:alignment vertical="top" wrapText="1"/>
    </x:xf>
    <x:xf numFmtId="3" fontId="1" fillId="0" borderId="0" xfId="0" applyNumberFormat="1" applyFont="1" applyAlignment="1">
      <x:alignment vertical="top" wrapText="1"/>
    </x:xf>
    <x:xf numFmtId="1" fontId="1" fillId="0" borderId="0" xfId="0" applyNumberFormat="1" applyFont="1" applyAlignment="1">
      <x:alignment vertical="top" wrapText="1"/>
    </x:xf>
    <x:xf numFmtId="3" fontId="8" fillId="3" borderId="0" xfId="0" applyNumberFormat="1" applyFont="1" applyFill="1" applyAlignment="1">
      <x:alignment vertical="top" wrapText="1"/>
    </x:xf>
    <x:xf numFmtId="3" fontId="8" fillId="8" borderId="0" xfId="0" applyNumberFormat="1" applyFont="1" applyFill="1" applyAlignment="1">
      <x:alignment vertical="top" wrapText="1"/>
    </x:xf>
    <x:xf numFmtId="0" fontId="3" fillId="2" borderId="0" xfId="0" applyFont="1" applyFill="1" applyAlignment="1">
      <x:alignment horizontal="center" vertical="center" wrapText="1"/>
    </x:xf>
    <x:xf numFmtId="0" fontId="0" fillId="0" borderId="0" xfId="0" applyAlignment="1">
      <x:alignment wrapText="1"/>
    </x:xf>
    <x:xf numFmtId="0" fontId="5" fillId="3" borderId="0" xfId="0" applyFont="1" applyFill="1" applyAlignment="1">
      <x:alignment vertical="top" wrapText="1"/>
    </x:xf>
    <x:xf numFmtId="0" fontId="1" fillId="0" borderId="0" xfId="0" applyFont="1" applyAlignment="1">
      <x:alignment vertical="top" wrapText="1"/>
    </x:xf>
    <x:xf numFmtId="0" fontId="7" fillId="7" borderId="0" xfId="0" applyFont="1" applyFill="1" applyAlignment="1">
      <x:alignment vertical="top" wrapText="1"/>
    </x:xf>
    <x:xf numFmtId="0" fontId="1" fillId="7" borderId="0" xfId="0" applyFont="1" applyFill="1" applyAlignment="1">
      <x:alignment vertical="top" wrapText="1"/>
    </x:xf>
    <x:xf numFmtId="0" fontId="0" fillId="0" borderId="1" xfId="0" applyNumberFormat="1" applyFont="1" applyFill="1" applyBorder="1"/>
    <x:xf numFmtId="0" fontId="0"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166" fontId="1" fillId="0" borderId="1" xfId="0" applyNumberFormat="1" applyFont="1" applyFill="1" applyBorder="1" applyAlignment="1">
      <x:alignment vertical="top" wrapText="1"/>
    </x:xf>
    <x:xf numFmtId="2" fontId="1" fillId="0" borderId="1"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6" fillId="4" borderId="1" xfId="0" applyNumberFormat="1" applyFont="1" applyFill="1" applyBorder="1" applyAlignment="1">
      <x:alignment horizontal="center" vertical="top" wrapText="1"/>
    </x:xf>
    <x:xf numFmtId="0" fontId="1" fillId="5" borderId="1" xfId="0" applyNumberFormat="1" applyFont="1" applyFill="1" applyBorder="1" applyAlignment="1">
      <x:alignment vertical="top" wrapText="1"/>
    </x:xf>
    <x:xf numFmtId="0" fontId="1" fillId="6" borderId="1" xfId="0" applyNumberFormat="1" applyFont="1" applyFill="1" applyBorder="1" applyAlignment="1">
      <x:alignment vertical="top" wrapText="1"/>
    </x:xf>
    <x:xf numFmtId="164" fontId="1" fillId="6" borderId="1" xfId="0" applyNumberFormat="1" applyFont="1" applyFill="1" applyBorder="1" applyAlignment="1">
      <x:alignment vertical="top" wrapText="1"/>
    </x:xf>
    <x:xf numFmtId="165" fontId="1" fillId="6" borderId="1" xfId="0" applyNumberFormat="1" applyFont="1" applyFill="1" applyBorder="1" applyAlignment="1">
      <x:alignment vertical="top" wrapText="1"/>
    </x:xf>
    <x:xf numFmtId="0" fontId="1" fillId="7" borderId="1" xfId="0" applyNumberFormat="1" applyFont="1" applyFill="1" applyBorder="1" applyAlignment="1">
      <x:alignment vertical="top" wrapText="1"/>
    </x:xf>
    <x:xf numFmtId="0" fontId="7" fillId="7" borderId="1" xfId="0" applyNumberFormat="1" applyFont="1" applyFill="1" applyBorder="1" applyAlignment="1">
      <x:alignment vertical="top" wrapText="1"/>
    </x:xf>
    <x:xf numFmtId="0" fontId="8" fillId="3" borderId="1" xfId="0" applyNumberFormat="1" applyFont="1" applyFill="1" applyBorder="1" applyAlignment="1">
      <x:alignment vertical="top" wrapText="1"/>
    </x:xf>
    <x:xf numFmtId="2" fontId="8" fillId="3" borderId="1" xfId="0" applyNumberFormat="1" applyFont="1" applyFill="1" applyBorder="1" applyAlignment="1">
      <x:alignment vertical="top" wrapText="1"/>
    </x:xf>
    <x:xf numFmtId="0" fontId="8" fillId="8" borderId="1" xfId="0" applyNumberFormat="1" applyFont="1" applyFill="1" applyBorder="1" applyAlignment="1">
      <x:alignment vertical="top" wrapText="1"/>
    </x:xf>
    <x:xf numFmtId="2" fontId="8" fillId="8" borderId="1" xfId="0" applyNumberFormat="1" applyFont="1" applyFill="1" applyBorder="1" applyAlignment="1">
      <x:alignment vertical="top" wrapText="1"/>
    </x:xf>
    <x:xf numFmtId="168" fontId="8" fillId="3" borderId="1" xfId="0" applyNumberFormat="1" applyFont="1" applyFill="1" applyBorder="1" applyAlignment="1">
      <x:alignment vertical="top" wrapText="1"/>
    </x:xf>
    <x:xf numFmtId="168" fontId="8" fillId="8" borderId="1" xfId="0" applyNumberFormat="1" applyFont="1" applyFill="1" applyBorder="1" applyAlignment="1">
      <x:alignment vertical="top" wrapText="1"/>
    </x:xf>
    <x:xf numFmtId="166" fontId="8" fillId="3" borderId="1" xfId="0" applyNumberFormat="1" applyFont="1" applyFill="1" applyBorder="1" applyAlignment="1">
      <x:alignment vertical="top" wrapText="1"/>
    </x:xf>
    <x:xf numFmtId="166" fontId="8" fillId="8" borderId="1" xfId="0" applyNumberFormat="1" applyFont="1" applyFill="1" applyBorder="1" applyAlignment="1">
      <x:alignment vertical="top" wrapText="1"/>
    </x:xf>
    <x:xf numFmtId="1" fontId="8" fillId="3" borderId="1" xfId="0" applyNumberFormat="1" applyFont="1" applyFill="1" applyBorder="1" applyAlignment="1">
      <x:alignment vertical="top" wrapText="1"/>
    </x:xf>
    <x:xf numFmtId="1" fontId="8" fillId="8" borderId="1" xfId="0" applyNumberFormat="1" applyFont="1" applyFill="1" applyBorder="1" applyAlignment="1">
      <x:alignment vertical="top" wrapText="1"/>
    </x:xf>
    <x:xf numFmtId="3" fontId="1" fillId="0" borderId="1" xfId="0" applyNumberFormat="1" applyFont="1" applyFill="1" applyBorder="1" applyAlignment="1">
      <x:alignment vertical="top" wrapText="1"/>
    </x:xf>
    <x:xf numFmtId="1" fontId="1" fillId="0" borderId="1" xfId="0" applyNumberFormat="1" applyFont="1" applyFill="1" applyBorder="1" applyAlignment="1">
      <x:alignment vertical="top" wrapText="1"/>
    </x:xf>
    <x:xf numFmtId="3" fontId="8" fillId="3" borderId="1" xfId="0" applyNumberFormat="1" applyFont="1" applyFill="1" applyBorder="1" applyAlignment="1">
      <x:alignment vertical="top" wrapText="1"/>
    </x:xf>
    <x:xf numFmtId="3" fontId="8" fillId="8" borderId="1" xfId="0" applyNumberFormat="1" applyFont="1" applyFill="1" applyBorder="1" applyAlignment="1">
      <x:alignment vertical="top" wrapText="1"/>
    </x:xf>
    <x:xf numFmtId="0" fontId="3" fillId="2" borderId="1" xfId="0" applyNumberFormat="1" applyFont="1" applyFill="1" applyBorder="1" applyAlignment="1">
      <x:alignment horizontal="center" vertical="center" wrapText="1"/>
    </x:xf>
    <x:xf numFmtId="0" fontId="5" fillId="3" borderId="1" xfId="0" applyNumberFormat="1" applyFont="1" applyFill="1" applyBorder="1" applyAlignment="1">
      <x:alignment vertical="top" wrapText="1"/>
    </x:xf>
    <x:xf numFmtId="0" fontId="2" fillId="9" borderId="0" xfId="0" applyNumberFormat="1" applyFont="1" applyFill="1" applyBorder="1" applyAlignment="1">
      <x:alignment horizontal="center"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1" xfId="0" applyNumberFormat="1" applyFont="1" applyFill="1" applyBorder="1" applyAlignment="1">
      <x:alignment horizontal="center" vertical="center" wrapText="1"/>
    </x:xf>
    <x:xf numFmtId="0" fontId="0" fillId="9" borderId="1" xfId="0" applyNumberFormat="1" applyFont="1" applyFill="1" applyBorder="1"/>
    <x:xf numFmtId="0" fontId="2" fillId="9" borderId="1" xfId="0" applyNumberFormat="1" applyFont="1" applyFill="1" applyBorder="1"/>
    <x:xf numFmtId="0" fontId="2" fillId="9" borderId="1" xfId="0" applyNumberFormat="1" applyFont="1" applyFill="1" applyBorder="1" applyAlignment="1">
      <x:alignment wrapText="1"/>
    </x:xf>
    <x:xf numFmtId="0" fontId="2" fillId="9" borderId="1" xfId="0" applyNumberFormat="1" applyFont="1" applyFill="1" applyBorder="1" applyAlignment="1">
      <x:alignment horizontal="center" wrapText="1"/>
    </x:xf>
    <x:xf numFmtId="0" fontId="1" fillId="3" borderId="0" xfId="0" applyNumberFormat="1" applyFont="1" applyFill="1" applyBorder="1" applyAlignment="1">
      <x:alignment vertical="top" wrapText="1"/>
    </x:xf>
    <x:xf numFmtId="0" fontId="9" fillId="0" borderId="0" xfId="0" applyNumberFormat="1" applyFont="1" applyFill="1" applyBorder="1"/>
    <x:xf numFmtId="0" fontId="1" fillId="8" borderId="0" xfId="0" applyNumberFormat="1" applyFont="1" applyFill="1" applyBorder="1" applyAlignment="1">
      <x:alignment vertical="top" wrapText="1"/>
    </x:xf>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1" xfId="0" applyNumberFormat="1" applyFont="1" applyFill="1" applyBorder="1"/>
    <x:xf numFmtId="0" fontId="1" fillId="8" borderId="1" xfId="0" applyNumberFormat="1" applyFont="1" applyFill="1" applyBorder="1" applyAlignment="1">
      <x:alignment vertical="top" wrapText="1"/>
    </x:xf>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xf numFmtId="0" fontId="2" fillId="2" borderId="0" xfId="0" applyNumberFormat="1" applyFont="1" applyFill="1" applyBorder="1" applyAlignment="1">
      <x:alignment horizontal="center" vertical="center" wrapText="1"/>
    </x:xf>
    <x:xf numFmtId="0" fontId="10" fillId="2" borderId="0" xfId="0" applyNumberFormat="1" applyFont="1" applyFill="1" applyBorder="1" applyAlignment="1">
      <x:alignment horizontal="center" vertical="center" wrapText="1"/>
    </x:xf>
    <x:xf numFmtId="0" fontId="10" fillId="2" borderId="1" xfId="0" applyNumberFormat="1" applyFont="1" applyFill="1" applyBorder="1" applyAlignment="1">
      <x:alignment horizontal="center" vertical="center" wrapText="1"/>
    </x:xf>
    <x:xf numFmtId="0" fontId="10" fillId="9" borderId="0" xfId="0" applyNumberFormat="1" applyFont="1" applyFill="1" applyBorder="1" applyAlignment="1">
      <x:alignment horizontal="center" vertical="center" wrapText="1"/>
    </x:xf>
    <x:xf numFmtId="0" fontId="10" fillId="9"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166" fontId="1" fillId="0" borderId="0" xfId="0" applyNumberFormat="1" applyFont="1" applyFill="1" applyBorder="1" applyAlignment="1">
      <x:alignment vertical="top" wrapText="1"/>
    </x:xf>
    <x:xf numFmtId="2" fontId="1" fillId="0"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6" fillId="4" borderId="0" xfId="0" applyNumberFormat="1" applyFont="1" applyFill="1" applyBorder="1" applyAlignment="1">
      <x:alignment horizontal="center" vertical="top" wrapText="1"/>
    </x:xf>
    <x:xf numFmtId="0" fontId="1"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164" fontId="1" fillId="6" borderId="0" xfId="0" applyNumberFormat="1" applyFont="1" applyFill="1" applyBorder="1" applyAlignment="1">
      <x:alignment vertical="top" wrapText="1"/>
    </x:xf>
    <x:xf numFmtId="165" fontId="1"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7" fillId="7" borderId="0" xfId="0" applyNumberFormat="1" applyFont="1" applyFill="1" applyBorder="1" applyAlignment="1">
      <x:alignment vertical="top" wrapText="1"/>
    </x:xf>
    <x:xf numFmtId="0" fontId="8" fillId="3" borderId="0" xfId="0" applyNumberFormat="1" applyFont="1" applyFill="1" applyBorder="1" applyAlignment="1">
      <x:alignment vertical="top" wrapText="1"/>
    </x:xf>
    <x:xf numFmtId="2" fontId="8" fillId="3" borderId="0" xfId="0" applyNumberFormat="1" applyFont="1" applyFill="1" applyBorder="1" applyAlignment="1">
      <x:alignment vertical="top" wrapText="1"/>
    </x:xf>
    <x:xf numFmtId="0" fontId="8" fillId="8" borderId="0" xfId="0" applyNumberFormat="1" applyFont="1" applyFill="1" applyBorder="1" applyAlignment="1">
      <x:alignment vertical="top" wrapText="1"/>
    </x:xf>
    <x:xf numFmtId="2" fontId="8" fillId="8" borderId="0" xfId="0" applyNumberFormat="1" applyFont="1" applyFill="1" applyBorder="1" applyAlignment="1">
      <x:alignment vertical="top" wrapText="1"/>
    </x:xf>
    <x:xf numFmtId="168" fontId="8" fillId="3" borderId="0" xfId="0" applyNumberFormat="1" applyFont="1" applyFill="1" applyBorder="1" applyAlignment="1">
      <x:alignment vertical="top" wrapText="1"/>
    </x:xf>
    <x:xf numFmtId="168" fontId="8" fillId="8" borderId="0" xfId="0" applyNumberFormat="1" applyFont="1" applyFill="1" applyBorder="1" applyAlignment="1">
      <x:alignment vertical="top" wrapText="1"/>
    </x:xf>
    <x:xf numFmtId="166" fontId="8" fillId="3" borderId="0" xfId="0" applyNumberFormat="1" applyFont="1" applyFill="1" applyBorder="1" applyAlignment="1">
      <x:alignment vertical="top" wrapText="1"/>
    </x:xf>
    <x:xf numFmtId="166" fontId="8" fillId="8" borderId="0" xfId="0" applyNumberFormat="1" applyFont="1" applyFill="1" applyBorder="1" applyAlignment="1">
      <x:alignment vertical="top" wrapText="1"/>
    </x:xf>
    <x:xf numFmtId="1" fontId="8" fillId="3" borderId="0" xfId="0" applyNumberFormat="1" applyFont="1" applyFill="1" applyBorder="1" applyAlignment="1">
      <x:alignment vertical="top" wrapText="1"/>
    </x:xf>
    <x:xf numFmtId="1" fontId="8" fillId="8" borderId="0" xfId="0" applyNumberFormat="1" applyFont="1" applyFill="1" applyBorder="1" applyAlignment="1">
      <x:alignment vertical="top" wrapText="1"/>
    </x:xf>
    <x:xf numFmtId="3" fontId="1" fillId="0" borderId="0" xfId="0" applyNumberFormat="1" applyFont="1" applyFill="1" applyBorder="1" applyAlignment="1">
      <x:alignment vertical="top" wrapText="1"/>
    </x:xf>
    <x:xf numFmtId="1" fontId="1" fillId="0" borderId="0" xfId="0" applyNumberFormat="1" applyFont="1" applyFill="1" applyBorder="1" applyAlignment="1">
      <x:alignment vertical="top" wrapText="1"/>
    </x:xf>
    <x:xf numFmtId="3" fontId="8" fillId="3" borderId="0" xfId="0" applyNumberFormat="1" applyFont="1" applyFill="1" applyBorder="1" applyAlignment="1">
      <x:alignment vertical="top" wrapText="1"/>
    </x:xf>
    <x:xf numFmtId="3" fontId="8" fillId="8" borderId="0" xfId="0" applyNumberFormat="1" applyFont="1" applyFill="1" applyBorder="1" applyAlignment="1">
      <x:alignment vertical="top" wrapText="1"/>
    </x:xf>
    <x:xf numFmtId="0" fontId="3" fillId="2" borderId="0" xfId="0" applyNumberFormat="1" applyFont="1" applyFill="1" applyBorder="1" applyAlignment="1">
      <x:alignment horizontal="center" vertical="center" wrapText="1"/>
    </x:xf>
    <x:xf numFmtId="0" fontId="5" fillId="3" borderId="0" xfId="0" applyNumberFormat="1" applyFont="1" applyFill="1" applyBorder="1" applyAlignment="1">
      <x:alignment vertical="top" wrapText="1"/>
    </x:xf>
    <x:xf numFmtId="0" fontId="0" fillId="10" borderId="0" xfId="0" applyNumberFormat="1" applyFont="1" applyFill="1" applyBorder="1"/>
    <x:xf numFmtId="0" fontId="11" fillId="10" borderId="0" xfId="0" applyNumberFormat="1" applyFont="1" applyFill="1" applyBorder="1"/>
    <x:xf numFmtId="0" fontId="11" fillId="10" borderId="0" xfId="0" applyNumberFormat="1" applyFont="1" applyFill="1" applyBorder="1" applyAlignment="1">
      <x:alignment wrapText="1"/>
    </x:xf>
    <x:xf numFmtId="0" fontId="11" fillId="10" borderId="0" xfId="0" applyNumberFormat="1" applyFont="1" applyFill="1" applyBorder="1" applyAlignment="1">
      <x:alignment horizontal="center" wrapText="1"/>
    </x:xf>
    <x:xf numFmtId="0" fontId="11" fillId="10"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0" fillId="10"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2" fontId="0" fillId="0" borderId="0" xfId="0" applyNumberFormat="1" applyFont="1" applyFill="1" applyBorder="1"/>
    <x:xf numFmtId="203" fontId="0" fillId="0" borderId="0" xfId="0" applyNumberFormat="1" applyFont="1" applyFill="1" applyBorder="1"/>
    <x:xf numFmtId="200" fontId="0" fillId="0" borderId="0" xfId="0" applyNumberFormat="1" applyFont="1" applyFill="1" applyBorder="1"/>
    <x:xf numFmtId="202"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202" fontId="0" fillId="0" borderId="0"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12" fillId="10" borderId="0" xfId="0" applyNumberFormat="1" applyFont="1" applyFill="1" applyBorder="1" applyAlignment="1">
      <x:alignment wrapText="1"/>
    </x:xf>
    <x:xf numFmtId="0" fontId="12" fillId="10" borderId="0" xfId="0" applyNumberFormat="1" applyFont="1" applyFill="1" applyBorder="1" applyAlignment="1">
      <x:alignment horizontal="center" wrapText="1"/>
    </x:xf>
    <x:xf numFmtId="0" fontId="12" fillId="10" borderId="0" xfId="0" applyNumberFormat="1" applyFont="1" applyFill="1" applyBorder="1" applyAlignment="1">
      <x:alignment horizontal="center" vertical="center" wrapText="1"/>
    </x:xf>
    <x:xf numFmtId="0" fontId="0" fillId="11" borderId="0" xfId="0" applyNumberFormat="1" applyFont="1" applyFill="1" applyBorder="1" applyAlignment="1">
      <x:alignment wrapText="1"/>
    </x:xf>
    <x:xf numFmtId="0" fontId="13" fillId="11" borderId="0" xfId="0" applyNumberFormat="1" applyFont="1" applyFill="1" applyBorder="1" applyAlignment="1">
      <x:alignment wrapText="1"/>
    </x:xf>
    <x:xf numFmtId="0" fontId="13" fillId="11" borderId="0" xfId="0" applyNumberFormat="1" applyFont="1" applyFill="1" applyBorder="1" applyAlignment="1">
      <x:alignment vertical="center" wrapText="1"/>
    </x:xf>
    <x:xf numFmtId="0" fontId="11" fillId="10" borderId="10" xfId="0" applyNumberFormat="1" applyFont="1" applyFill="1" applyBorder="1" applyAlignment="1">
      <x:alignment horizontal="center" vertical="center" wrapText="1"/>
    </x:xf>
    <x:xf numFmtId="0" fontId="11" fillId="10" borderId="11" xfId="0" applyNumberFormat="1" applyFont="1" applyFill="1" applyBorder="1" applyAlignment="1">
      <x:alignment horizontal="center" vertical="center" wrapText="1"/>
    </x:xf>
    <x:xf numFmtId="0" fontId="11" fillId="10" borderId="12" xfId="0" applyNumberFormat="1" applyFont="1" applyFill="1" applyBorder="1" applyAlignment="1">
      <x:alignment horizontal="center" vertical="center" wrapText="1"/>
    </x:xf>
    <x:xf numFmtId="0" fontId="0" fillId="0" borderId="13" xfId="0" applyNumberFormat="1" applyFont="1" applyFill="1" applyBorder="1" applyAlignment="1">
      <x:alignment vertical="top" wrapText="1"/>
    </x:xf>
    <x:xf numFmtId="202" fontId="0" fillId="0" xfId="0" applyNumberFormat="1" applyFont="1" applyFill="1" applyBorder="0" applyAlignment="1">
      <x:alignment vertical="top" wrapText="1"/>
    </x:xf>
    <x:xf numFmtId="200" fontId="0" fillId="0" xfId="0" applyNumberFormat="1" applyFont="1" applyFill="1" applyBorder="0" applyAlignment="1">
      <x:alignment vertical="top" wrapText="1"/>
    </x:xf>
    <x:xf numFmtId="203" fontId="0" fillId="0" xfId="0" applyNumberFormat="1" applyFont="1" applyFill="1" applyBorder="0"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202" fontId="0" fillId="0" borderId="16" xfId="0" applyNumberFormat="1" applyFont="1" applyFill="1" applyBorder="1" applyAlignment="1">
      <x:alignment vertical="top" wrapText="1"/>
    </x:xf>
    <x:xf numFmtId="200" fontId="0" fillId="0" borderId="16" xfId="0" applyNumberFormat="1" applyFont="1" applyFill="1" applyBorder="1" applyAlignment="1">
      <x:alignment vertical="top" wrapText="1"/>
    </x:xf>
    <x:xf numFmtId="203"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7"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xfId="0" applyNumberFormat="1" applyFont="1" applyFill="1" applyBorder="0"/>
    <x:xf numFmtId="0" fontId="0" fillId="0" borderId="22" xfId="0" applyNumberFormat="1" applyFont="1" applyFill="1" applyBorder="1"/>
    <x:xf numFmtId="0" fontId="0" fillId="0" borderId="23"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xfId="0" applyNumberFormat="1" applyFont="1" applyFill="1" applyBorder="0"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12" borderId="0" xfId="0" applyNumberFormat="1" applyFont="1" applyFill="1" applyBorder="1" applyAlignment="1">
      <x:alignment wrapText="1"/>
    </x:xf>
    <x:xf numFmtId="0" fontId="13" fillId="12" borderId="0" xfId="0" applyNumberFormat="1" applyFont="1" applyFill="1" applyBorder="1" applyAlignment="1">
      <x:alignment wrapText="1"/>
    </x:xf>
    <x:xf numFmtId="0" fontId="13" fillId="12" borderId="0" xfId="0" applyNumberFormat="1" applyFont="1" applyFill="1" applyBorder="1" applyAlignment="1">
      <x:alignment vertical="center" wrapText="1"/>
    </x:xf>
    <x:xf numFmtId="0" fontId="0" fillId="13" borderId="0" xfId="0" applyNumberFormat="1" applyFont="1" applyFill="1" applyBorder="1"/>
    <x:xf numFmtId="0" fontId="11" fillId="13" borderId="0" xfId="0" applyNumberFormat="1" applyFont="1" applyFill="1" applyBorder="1"/>
    <x:xf numFmtId="0" fontId="11" fillId="13" borderId="0" xfId="0" applyNumberFormat="1" applyFont="1" applyFill="1" applyBorder="1" applyAlignment="1">
      <x:alignment wrapText="1"/>
    </x:xf>
    <x:xf numFmtId="0" fontId="11" fillId="13" borderId="0" xfId="0" applyNumberFormat="1" applyFont="1" applyFill="1" applyBorder="1" applyAlignment="1">
      <x:alignment horizontal="center" wrapText="1"/>
    </x:xf>
    <x:xf numFmtId="0" fontId="11" fillId="13" borderId="0" xfId="0" applyNumberFormat="1" applyFont="1" applyFill="1" applyBorder="1" applyAlignment="1">
      <x:alignment horizontal="center" vertical="center" wrapText="1"/>
    </x:xf>
    <x:xf numFmtId="0" fontId="0" fillId="14" borderId="0" xfId="0" applyNumberFormat="1" applyFont="1" applyFill="1" applyBorder="1" applyAlignment="1">
      <x:alignment wrapText="1"/>
    </x:xf>
    <x:xf numFmtId="0" fontId="13" fillId="14" borderId="0" xfId="0" applyNumberFormat="1" applyFont="1" applyFill="1" applyBorder="1" applyAlignment="1">
      <x:alignment wrapText="1"/>
    </x:xf>
    <x:xf numFmtId="0" fontId="13" fillId="14" borderId="0" xfId="0" applyNumberFormat="1" applyFont="1" applyFill="1" applyBorder="1" applyAlignment="1">
      <x:alignment vertical="center" wrapText="1"/>
    </x:xf>
    <x:xf numFmtId="0" fontId="13" fillId="15" borderId="0" xfId="0" applyNumberFormat="1" applyFont="1" applyFill="1" applyBorder="1" applyAlignment="1">
      <x:alignment vertical="center" wrapText="1"/>
    </x:xf>
    <x:xf numFmtId="0" fontId="0" fillId="15" borderId="0" xfId="0" applyNumberFormat="1" applyFont="1" applyFill="1" applyBorder="1" applyAlignment="1">
      <x:alignment wrapText="1"/>
    </x:xf>
    <x:xf numFmtId="0" fontId="13" fillId="15" borderId="0" xfId="0" applyNumberFormat="1" applyFont="1" applyFill="1" applyBorder="1" applyAlignment="1">
      <x:alignment wrapText="1"/>
    </x:xf>
    <x:xf numFmtId="0" fontId="0" fillId="16" borderId="0" xfId="0" applyNumberFormat="1" applyFont="1" applyFill="1" applyBorder="1"/>
    <x:xf numFmtId="0" fontId="12" fillId="16" borderId="0" xfId="0" applyNumberFormat="1" applyFont="1" applyFill="1" applyBorder="1"/>
    <x:xf numFmtId="0" fontId="12" fillId="16" borderId="0" xfId="0" applyNumberFormat="1" applyFont="1" applyFill="1" applyBorder="1" applyAlignment="1">
      <x:alignment horizontal="center"/>
    </x:xf>
    <x:xf numFmtId="0" fontId="12" fillId="16" borderId="0" xfId="0" applyNumberFormat="1" applyFont="1" applyFill="1" applyBorder="1" applyAlignment="1">
      <x:alignment horizontal="center" vertical="center"/>
    </x:xf>
    <x:xf numFmtId="0" fontId="11" fillId="16" borderId="0" xfId="0" applyNumberFormat="1" applyFont="1" applyFill="1" applyBorder="1"/>
    <x:xf numFmtId="0" fontId="11" fillId="16" borderId="0" xfId="0" applyNumberFormat="1" applyFont="1" applyFill="1" applyBorder="1" applyAlignment="1">
      <x:alignment wrapText="1"/>
    </x:xf>
    <x:xf numFmtId="0" fontId="11" fillId="16" borderId="0" xfId="0" applyNumberFormat="1" applyFont="1" applyFill="1" applyBorder="1" applyAlignment="1">
      <x:alignment horizontal="center" wrapText="1"/>
    </x:xf>
    <x:xf numFmtId="0" fontId="11" fillId="16" borderId="0" xfId="0" applyNumberFormat="1" applyFont="1" applyFill="1" applyBorder="1" applyAlignment="1">
      <x:alignment horizontal="center" vertical="center" wrapText="1"/>
    </x:xf>
    <x:xf numFmtId="0" fontId="0" fillId="15" borderId="0" xfId="0" applyNumberFormat="1" applyFont="1" applyFill="1" applyBorder="1"/>
    <x:xf numFmtId="0" fontId="13" fillId="15" borderId="0" xfId="0" applyNumberFormat="1" applyFont="1" applyFill="1" applyBorder="1"/>
    <x:xf numFmtId="0" fontId="13" fillId="15" borderId="0" xfId="0" applyNumberFormat="1" applyFont="1" applyFill="1" applyBorder="1" applyAlignment="1">
      <x:alignment horizontal="center"/>
    </x:xf>
  </x:cellXfs>
  <x:cellStyles count="1">
    <x:cellStyle name="Normal" xfId="0"/>
  </x:cellStyles>
  <x:dxfs count="6">
    <x:dxf>
      <x:font>
        <x:color rgb="FF166534"/>
      </x:font>
      <x:fill>
        <x:patternFill>
          <x:bgColor rgb="FFDCFCE7"/>
        </x:patternFill>
      </x:fill>
    </x:dxf>
    <x:dxf>
      <x:font>
        <x:color rgb="FF166534"/>
      </x:font>
      <x:fill>
        <x:patternFill>
          <x:bgColor rgb="FFDCFCE7"/>
        </x:patternFill>
      </x:fill>
    </x:dxf>
    <x:dxf>
      <x:font>
        <x:color rgb="FF166534"/>
      </x:font>
      <x:fill>
        <x:patternFill>
          <x:bgColor rgb="FFDCFCE7"/>
        </x:patternFill>
      </x:fill>
    </x:dxf>
    <x:dxf>
      <x:font>
        <x:color rgb="FF166534"/>
      </x:font>
      <x:fill>
        <x:patternFill>
          <x:bgColor rgb="FFDCFCE7"/>
        </x:patternFill>
      </x:fill>
    </x:dxf>
    <x:dxf>
      <x:font>
        <x:color rgb="FF92400E"/>
      </x:font>
      <x:fill>
        <x:patternFill>
          <x:bgColor rgb="FFFEF3C7"/>
        </x:patternFill>
      </x:fill>
    </x:dxf>
    <x:dxf>
      <x:font>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0067a1a7ac64c0c" /><Relationship Type="http://schemas.openxmlformats.org/officeDocument/2006/relationships/theme" Target="/xl/theme/theme1.xml" Id="R7e05b17bbd5b44ff" /><Relationship Type="http://schemas.microsoft.com/office/2022/11/relationships/FeaturePropertyBag" Target="/xl/featurePropertyBag/featurePropertyBag.xml" Id="R883ee1d54e7e4f9a" /><Relationship Type="http://schemas.openxmlformats.org/officeDocument/2006/relationships/sharedStrings" Target="/xl/sharedStrings.xml" Id="R3300fd9244044b91" /><Relationship Type="http://schemas.openxmlformats.org/officeDocument/2006/relationships/worksheet" Target="/xl/worksheets/sheet1.xml" Id="Reb82586ec71e45b6" /><Relationship Type="http://schemas.openxmlformats.org/officeDocument/2006/relationships/worksheet" Target="/xl/worksheets/sheet2.xml" Id="R4feb65eebfe04747" /><Relationship Type="http://schemas.openxmlformats.org/officeDocument/2006/relationships/worksheet" Target="/xl/worksheets/sheet3.xml" Id="Rc71769dcbd4a4b53" /><Relationship Type="http://schemas.openxmlformats.org/officeDocument/2006/relationships/worksheet" Target="/xl/worksheets/sheet4.xml" Id="R5ca2a249415a4d63" /><Relationship Type="http://schemas.openxmlformats.org/officeDocument/2006/relationships/worksheet" Target="/xl/worksheets/sheet5.xml" Id="Rb07535ad35a74c4d" /><Relationship Type="http://schemas.openxmlformats.org/officeDocument/2006/relationships/worksheet" Target="/xl/worksheets/sheet6.xml" Id="R06fe65d889124b8c" /><Relationship Type="http://schemas.openxmlformats.org/officeDocument/2006/relationships/worksheet" Target="/xl/worksheets/sheet7.xml" Id="Raeac680e19074206" /><Relationship Type="http://schemas.openxmlformats.org/officeDocument/2006/relationships/worksheet" Target="/xl/worksheets/sheet8.xml" Id="Rbd2cb3b81c9548d5" /><Relationship Type="http://schemas.openxmlformats.org/officeDocument/2006/relationships/worksheet" Target="/xl/worksheets/sheet9.xml" Id="R61e6b3a51bfb4ed0" /><Relationship Type="http://schemas.openxmlformats.org/officeDocument/2006/relationships/worksheet" Target="/xl/worksheets/sheet10.xml" Id="R396468ca962443eb" /><Relationship Type="http://schemas.openxmlformats.org/officeDocument/2006/relationships/worksheet" Target="/xl/worksheets/sheet11.xml" Id="R04de65d1a95c4f8e" /><Relationship Type="http://schemas.openxmlformats.org/officeDocument/2006/relationships/worksheet" Target="/xl/worksheets/sheet12.xml" Id="Rad857f3b4e074713" /><Relationship Type="http://schemas.openxmlformats.org/officeDocument/2006/relationships/worksheet" Target="/xl/worksheets/sheet13.xml" Id="R9fc46126ed41488f" /><Relationship Type="http://schemas.openxmlformats.org/officeDocument/2006/relationships/worksheet" Target="/xl/worksheets/sheet14.xml" Id="R18364910f42041be" /><Relationship Type="http://schemas.openxmlformats.org/officeDocument/2006/relationships/worksheet" Target="/xl/worksheets/sheet15.xml" Id="Rbb47df3ea1314e20" /><Relationship Type="http://schemas.openxmlformats.org/officeDocument/2006/relationships/worksheet" Target="/xl/worksheets/sheet16.xml" Id="R136e3941a51b40b1" /><Relationship Type="http://schemas.openxmlformats.org/officeDocument/2006/relationships/worksheet" Target="/xl/worksheets/sheet17.xml" Id="R190ebf48578542ff" /><Relationship Type="http://schemas.openxmlformats.org/officeDocument/2006/relationships/worksheet" Target="/xl/worksheets/sheet18.xml" Id="R00d7ced0c14e4c8f" /><Relationship Type="http://schemas.openxmlformats.org/officeDocument/2006/relationships/worksheet" Target="/xl/worksheets/sheet19.xml" Id="R27f6a403d20a4a4e" /><Relationship Type="http://schemas.openxmlformats.org/officeDocument/2006/relationships/worksheet" Target="/xl/worksheets/sheet20.xml" Id="R431741f0bcbe437b" /><Relationship Type="http://schemas.openxmlformats.org/officeDocument/2006/relationships/worksheet" Target="/xl/worksheets/sheet21.xml" Id="R47af2b0f9728427b" /><Relationship Type="http://schemas.openxmlformats.org/officeDocument/2006/relationships/worksheet" Target="/xl/worksheets/sheet22.xml" Id="Rc2d84c0da55849b1" /><Relationship Type="http://schemas.openxmlformats.org/officeDocument/2006/relationships/worksheet" Target="/xl/worksheets/sheet23.xml" Id="Rce808c3028de46e4" /><Relationship Type="http://schemas.openxmlformats.org/officeDocument/2006/relationships/worksheet" Target="/xl/worksheets/sheet24.xml" Id="R7215d40cfe69443a" /><Relationship Type="http://schemas.openxmlformats.org/officeDocument/2006/relationships/worksheet" Target="/xl/worksheets/sheet25.xml" Id="R363f0d404bef4abd" /><Relationship Type="http://schemas.openxmlformats.org/officeDocument/2006/relationships/worksheet" Target="/xl/worksheets/sheet26.xml" Id="Reecb1e48beea450c" /><Relationship Type="http://schemas.openxmlformats.org/officeDocument/2006/relationships/worksheet" Target="/xl/worksheets/sheet27.xml" Id="Rd506568de0ef43a7" /><Relationship Type="http://schemas.openxmlformats.org/officeDocument/2006/relationships/worksheet" Target="/xl/worksheets/sheet28.xml" Id="Rfcb343995b5f4415" /></Relationships>
</file>

<file path=xl/drawings/_rels/drawing1.xml.rels>&#65279;<?xml version="1.0" encoding="utf-8"?><Relationships xmlns="http://schemas.openxmlformats.org/package/2006/relationships"><Relationship Type="http://schemas.openxmlformats.org/officeDocument/2006/relationships/chart" Target="/xl/drawings/charts/chart1.xml" Id="Reed40306b8954291"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a:t>Số tour theo cụm điểm đến</a:t>
            </a:r>
          </a:p>
        </c:rich>
      </c:tx>
      <c:overlay val="0"/>
    </c:title>
    <c:autoTitleDeleted val="0"/>
    <c:plotArea>
      <c:layout/>
      <c:barChart>
        <c:barDir val="col"/>
        <c:grouping val="clustered"/>
        <c:varyColors val="0"/>
        <c:ser>
          <c:idx val="0"/>
          <c:order val="0"/>
          <c:tx>
            <c:v>tour_count</c:v>
          </c:tx>
          <c:cat>
            <c:strRef>
              <c:f>README_Dashboard!$A$16:$A$18</c:f>
              <c:strCache>
                <c:ptCount val="3"/>
                <c:pt idx="0">
                  <c:v>Phú Yên</c:v>
                </c:pt>
                <c:pt idx="1">
                  <c:v>Đà Lạt</c:v>
                </c:pt>
                <c:pt idx="2">
                  <c:v>Đà Nẵng - Hội An</c:v>
                </c:pt>
              </c:strCache>
            </c:strRef>
          </c:cat>
          <c:val>
            <c:numRef>
              <c:f>README_Dashboard!$B$16:$B$18</c:f>
              <c:numCache>
                <c:formatCode>General</c:formatCode>
                <c:ptCount val="3"/>
                <c:pt idx="0">
                  <c:v>4</c:v>
                </c:pt>
                <c:pt idx="1">
                  <c:v>4</c:v>
                </c:pt>
                <c:pt idx="2">
                  <c:v>4</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5</xdr:row>
      <xdr:rowOff>0</xdr:rowOff>
    </xdr:from>
    <xdr:to>
      <xdr:col>8</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ed40306b8954291"/>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bl_Badge" displayName="Tbl_Badge" ref="A1:C9">
  <x:tableColumns count="3">
    <x:tableColumn id="1" name="ID_Badge"/>
    <x:tableColumn id="2" name="badges_description"/>
    <x:tableColumn id="3" name="foruserortour"/>
  </x:tableColumns>
  <x:tableStyleInfo name="TableStyleMedium2" showRowStripes="1"/>
</x:table>
</file>

<file path=xl/tables/table2.xml><?xml version="1.0" encoding="utf-8"?>
<x:table xmlns:x="http://schemas.openxmlformats.org/spreadsheetml/2006/main" id="2" name="Tbl_Contract" displayName="Tbl_Contract" ref="A1:D2">
  <x:tableColumns count="4">
    <x:tableColumn id="1" name="ID_Contract"/>
    <x:tableColumn id="2" name="name_contract"/>
    <x:tableColumn id="3" name="text"/>
    <x:tableColumn id="4" name="contract_status"/>
  </x:tableColumns>
  <x:tableStyleInfo name="TableStyleMedium2" showRowStripes="1"/>
</x:table>
</file>

<file path=xl/tables/table3.xml><?xml version="1.0" encoding="utf-8"?>
<x:table xmlns:x="http://schemas.openxmlformats.org/spreadsheetml/2006/main" id="3" name="Tbl_User" displayName="Tbl_User" ref="A1:L7">
  <x:tableColumns count="12">
    <x:tableColumn id="1" name="ID_User"/>
    <x:tableColumn id="2" name="role"/>
    <x:tableColumn id="3" name="username"/>
    <x:tableColumn id="4" name="password"/>
    <x:tableColumn id="5" name="fullname"/>
    <x:tableColumn id="6" name="email"/>
    <x:tableColumn id="7" name="phone"/>
    <x:tableColumn id="8" name="dob"/>
    <x:tableColumn id="9" name="gender"/>
    <x:tableColumn id="10" name="address"/>
    <x:tableColumn id="11" name="job"/>
    <x:tableColumn id="12" name="company_name"/>
  </x:tableColumns>
  <x:tableStyleInfo name="TableStyleMedium2" showRowStripes="1"/>
</x:table>
</file>

<file path=xl/tables/table4.xml><?xml version="1.0" encoding="utf-8"?>
<x:table xmlns:x="http://schemas.openxmlformats.org/spreadsheetml/2006/main" id="4" name="Tbl_Vender" displayName="Tbl_Vender" ref="A1:C4">
  <x:tableColumns count="3">
    <x:tableColumn id="1" name="ID_Vender"/>
    <x:tableColumn id="2" name="ID_User"/>
    <x:tableColumn id="3" name="registration_date"/>
  </x:tableColumns>
  <x:tableStyleInfo name="TableStyleMedium2" showRowStripes="1"/>
</x:table>
</file>

<file path=xl/tables/table5.xml><?xml version="1.0" encoding="utf-8"?>
<x:table xmlns:x="http://schemas.openxmlformats.org/spreadsheetml/2006/main" id="5" name="Tbl_Provider" displayName="Tbl_Provider" ref="A1:H4">
  <x:tableColumns count="8">
    <x:tableColumn id="1" name="ID_Provider"/>
    <x:tableColumn id="2" name="ID_Contract"/>
    <x:tableColumn id="3" name="name_provider"/>
    <x:tableColumn id="4" name="field"/>
    <x:tableColumn id="5" name="destination"/>
    <x:tableColumn id="6" name="image_url"/>
    <x:tableColumn id="7" name="image_formula"/>
    <x:tableColumn id="8" name="provider_status"/>
  </x:tableColumns>
  <x:tableStyleInfo name="TableStyleMedium2" showRowStripes="1"/>
</x:table>
</file>

<file path=xl/tables/table6.xml><?xml version="1.0" encoding="utf-8"?>
<x:table xmlns:x="http://schemas.openxmlformats.org/spreadsheetml/2006/main" id="6" name="Tbl_Schedule" displayName="Tbl_Schedule" ref="A1:J13">
  <x:tableColumns count="10">
    <x:tableColumn id="1" name="ID_Schedule"/>
    <x:tableColumn id="2" name="tour_name"/>
    <x:tableColumn id="3" name="destination"/>
    <x:tableColumn id="4" name="days"/>
    <x:tableColumn id="5" name="discount"/>
    <x:tableColumn id="6" name="carbon"/>
    <x:tableColumn id="7" name="image_url"/>
    <x:tableColumn id="8" name="image_formula"/>
    <x:tableColumn id="9" name="tour_description"/>
    <x:tableColumn id="10" name="votes_count"/>
  </x:tableColumns>
  <x:tableStyleInfo name="TableStyleMedium2" showRowStripes="1"/>
</x:table>
</file>

<file path=xl/tables/table7.xml><?xml version="1.0" encoding="utf-8"?>
<x:table xmlns:x="http://schemas.openxmlformats.org/spreadsheetml/2006/main" id="7" name="Tbl_ScheduleSample" displayName="Tbl_ScheduleSample" ref="A1:F13">
  <x:tableColumns count="6">
    <x:tableColumn id="1" name="ID_Schedule"/>
    <x:tableColumn id="2" name="ID_Provider"/>
    <x:tableColumn id="3" name="cost"/>
    <x:tableColumn id="4" name="old_cost"/>
    <x:tableColumn id="5" name="rating"/>
    <x:tableColumn id="6" name="votes_count"/>
  </x:tableColumns>
  <x:tableStyleInfo name="TableStyleMedium2" showRowStripes="1"/>
</x:table>
</file>

<file path=xl/tables/table8.xml><?xml version="1.0" encoding="utf-8"?>
<x:table xmlns:x="http://schemas.openxmlformats.org/spreadsheetml/2006/main" id="8" name="Tbl_GreenService" displayName="Tbl_GreenService" ref="A1:L27">
  <x:tableColumns count="12">
    <x:tableColumn id="1" name="ID_Service"/>
    <x:tableColumn id="2" name="ID_Vender"/>
    <x:tableColumn id="3" name="name_service"/>
    <x:tableColumn id="4" name="type"/>
    <x:tableColumn id="5" name="cost"/>
    <x:tableColumn id="6" name="destination"/>
    <x:tableColumn id="7" name="carbon"/>
    <x:tableColumn id="8" name="image_url"/>
    <x:tableColumn id="9" name="image_formula"/>
    <x:tableColumn id="10" name="rating"/>
    <x:tableColumn id="11" name="bookings_count"/>
    <x:tableColumn id="12" name="current_data"/>
  </x:tableColumns>
  <x:tableStyleInfo name="TableStyleMedium2" showRowStripes="1"/>
</x:table>
</file>

<file path=xl/tables/table9.xml><?xml version="1.0" encoding="utf-8"?>
<x:table xmlns:x="http://schemas.openxmlformats.org/spreadsheetml/2006/main" id="9" name="Tbl_ScheduleActivity" displayName="Tbl_ScheduleActivity" ref="A1:K68">
  <x:tableColumns count="11">
    <x:tableColumn id="1" name="ID_Activity"/>
    <x:tableColumn id="2" name="ID_Service"/>
    <x:tableColumn id="3" name="ID_Schedule"/>
    <x:tableColumn id="4" name="day_number"/>
    <x:tableColumn id="5" name="time"/>
    <x:tableColumn id="6" name="activity_name"/>
    <x:tableColumn id="7" name="activity_cost"/>
    <x:tableColumn id="8" name="carbon"/>
    <x:tableColumn id="9" name="icon"/>
    <x:tableColumn id="10" name="type"/>
    <x:tableColumn id="11" name="coordinates"/>
  </x:tableColumns>
  <x:tableStyleInfo name="TableStyleMedium2" showRowStripes="1"/>
</x:table>
</file>

<file path=xl/tables/table10.xml><?xml version="1.0" encoding="utf-8"?>
<x:table xmlns:x="http://schemas.openxmlformats.org/spreadsheetml/2006/main" id="10" name="Tbl_BadgeSchedule" displayName="Tbl_BadgeSchedule" ref="A1:B34">
  <x:tableColumns count="2">
    <x:tableColumn id="1" name="ID_Badge"/>
    <x:tableColumn id="2" name="ID_Schedule"/>
  </x:tableColumns>
  <x:tableStyleInfo name="TableStyleMedium2" showRowStripes="1"/>
</x:table>
</file>

<file path=xl/tables/table11.xml><?xml version="1.0" encoding="utf-8"?>
<x:table xmlns:x="http://schemas.openxmlformats.org/spreadsheetml/2006/main" id="11" name="Tbl_BadgeService" displayName="Tbl_BadgeService" ref="A1:B35">
  <x:tableColumns count="2">
    <x:tableColumn id="1" name="ID_Badge"/>
    <x:tableColumn id="2" name="ID_Service"/>
  </x:tableColumns>
  <x:tableStyleInfo name="TableStyleMedium2" showRowStripes="1"/>
</x:table>
</file>

<file path=xl/tables/table12.xml><?xml version="1.0" encoding="utf-8"?>
<x:table xmlns:x="http://schemas.openxmlformats.org/spreadsheetml/2006/main" id="12" name="Tbl_TourBooking_Mock" displayName="Tbl_TourBooking_Mock" ref="A1:L13">
  <x:tableColumns count="12">
    <x:tableColumn id="1" name="ID_TourBooking"/>
    <x:tableColumn id="2" name="ID_User"/>
    <x:tableColumn id="3" name="ID_Schedule"/>
    <x:tableColumn id="4" name="fullname"/>
    <x:tableColumn id="5" name="tour_name"/>
    <x:tableColumn id="6" name="booking_date"/>
    <x:tableColumn id="7" name="guests"/>
    <x:tableColumn id="8" name="value"/>
    <x:tableColumn id="9" name="status"/>
    <x:tableColumn id="10" name="votes_count"/>
    <x:tableColumn id="11" name="evoucher_code"/>
    <x:tableColumn id="12" name="escrow_status"/>
  </x:tableColumns>
  <x:tableStyleInfo name="TableStyleMedium2" showRowStripes="1"/>
</x:table>
</file>

<file path=xl/tables/table13.xml><?xml version="1.0" encoding="utf-8"?>
<x:table xmlns:x="http://schemas.openxmlformats.org/spreadsheetml/2006/main" id="13" name="Tbl_ImageSources" displayName="Tbl_ImageSources" ref="A1:D16">
  <x:tableColumns count="4">
    <x:tableColumn id="1" name="landmark"/>
    <x:tableColumn id="2" name="image_url"/>
    <x:tableColumn id="3" name="source_page"/>
    <x:tableColumn id="4" name="source_note"/>
  </x:tableColumns>
  <x:tableStyleInfo name="TableStyleMedium2" showRowStripes="1"/>
</x:table>
</file>

<file path=xl/tables/table14.xml><?xml version="1.0" encoding="utf-8"?>
<x:table xmlns:x="http://schemas.openxmlformats.org/spreadsheetml/2006/main" id="14" name="Tbl_DataDictionary" displayName="Tbl_DataDictionary" ref="A1:C8">
  <x:tableColumns count="3">
    <x:tableColumn id="1" name="table_name"/>
    <x:tableColumn id="2" name="important_fields"/>
    <x:tableColumn id="3" name="usage_note"/>
  </x:tableColumns>
  <x:tableStyleInfo name="TableStyleMedium2" showRowStripes="1"/>
</x:table>
</file>

<file path=xl/tables/table15.xml><?xml version="1.0" encoding="utf-8"?>
<x:table xmlns:x="http://schemas.openxmlformats.org/spreadsheetml/2006/main" id="15" name="CarbonSourcesTable" displayName="CarbonSourcesTable" ref="A1:F9">
  <x:tableColumns count="6">
    <x:tableColumn id="1" name="source_id"/>
    <x:tableColumn id="2" name="source_type"/>
    <x:tableColumn id="3" name="source_name"/>
    <x:tableColumn id="4" name="used_for"/>
    <x:tableColumn id="5" name="source_url"/>
    <x:tableColumn id="6" name="notes"/>
  </x:tableColumns>
  <x:tableStyleInfo name="TableStyleMedium2" showRowStripes="1"/>
</x:table>
</file>

<file path=xl/tables/table16.xml><?xml version="1.0" encoding="utf-8"?>
<x:table xmlns:x="http://schemas.openxmlformats.org/spreadsheetml/2006/main" id="16" name="CarbonAssumptionsTable" displayName="CarbonAssumptionsTable" ref="A1:K7">
  <x:tableColumns count="11">
    <x:tableColumn id="1" name="assumption_id"/>
    <x:tableColumn id="2" name="activity_type"/>
    <x:tableColumn id="3" name="baseline_scenario"/>
    <x:tableColumn id="4" name="green_scenario"/>
    <x:tableColumn id="5" name="unit"/>
    <x:tableColumn id="6" name="baseline_ef_kgCO2e"/>
    <x:tableColumn id="7" name="green_ef_kgCO2e"/>
    <x:tableColumn id="8" name="formula"/>
    <x:tableColumn id="9" name="source_id"/>
    <x:tableColumn id="10" name="evidence_level"/>
    <x:tableColumn id="11" name="notes"/>
  </x:tableColumns>
  <x:tableStyleInfo name="TableStyleMedium2" showRowStripes="1"/>
</x:table>
</file>

<file path=xl/tables/table17.xml><?xml version="1.0" encoding="utf-8"?>
<x:table xmlns:x="http://schemas.openxmlformats.org/spreadsheetml/2006/main" id="17" name="CarbonCalcLogTable" displayName="CarbonCalcLogTable" ref="A1:N68">
  <x:tableColumns count="14">
    <x:tableColumn id="1" name="ID_Activity"/>
    <x:tableColumn id="2" name="ID_Schedule"/>
    <x:tableColumn id="3" name="activity_name"/>
    <x:tableColumn id="4" name="type"/>
    <x:tableColumn id="5" name="carbon_kgCO2e_saving"/>
    <x:tableColumn id="6" name="baseline_scenario"/>
    <x:tableColumn id="7" name="green_scenario"/>
    <x:tableColumn id="8" name="assumed_unit_or_distance"/>
    <x:tableColumn id="9" name="baseline_ef_kgCO2e"/>
    <x:tableColumn id="10" name="green_ef_kgCO2e"/>
    <x:tableColumn id="11" name="carbon_method"/>
    <x:tableColumn id="12" name="source_id"/>
    <x:tableColumn id="13" name="evidence_level"/>
    <x:tableColumn id="14" name="carbon_note"/>
  </x:tableColumns>
  <x:tableStyleInfo name="TableStyleMedium2" showRowStripes="1"/>
</x:table>
</file>

<file path=xl/tables/table18.xml><?xml version="1.0" encoding="utf-8"?>
<x:table xmlns:x="http://schemas.openxmlformats.org/spreadsheetml/2006/main" id="18" name="TourDepartureTable" displayName="TourDepartureTable" ref="A1:M37" headerRowCount="1">
  <x:tableColumns count="13">
    <x:tableColumn id="1" name="ID_Departure"/>
    <x:tableColumn id="2" name="ID_Schedule"/>
    <x:tableColumn id="3" name="start_date"/>
    <x:tableColumn id="4" name="end_date"/>
    <x:tableColumn id="5" name="adult_price"/>
    <x:tableColumn id="6" name="child_price"/>
    <x:tableColumn id="7" name="infant_price"/>
    <x:tableColumn id="8" name="capacity"/>
    <x:tableColumn id="9" name="booked_slots"/>
    <x:tableColumn id="10" name="available_slots"/>
    <x:tableColumn id="11" name="booking_cutoff_at"/>
    <x:tableColumn id="12" name="temporary_hold_minutes"/>
    <x:tableColumn id="13" name="status"/>
  </x:tableColumns>
  <x:tableStyleInfo name="TableStyleMedium2" showRowStripes="1"/>
</x:table>
</file>

<file path=xl/tables/table19.xml><?xml version="1.0" encoding="utf-8"?>
<x:table xmlns:x="http://schemas.openxmlformats.org/spreadsheetml/2006/main" id="19" name="TourImageTable" displayName="TourImageTable" ref="A1:J73" headerRowCount="1">
  <x:tableColumns count="10">
    <x:tableColumn id="1" name="ID_Image"/>
    <x:tableColumn id="2" name="ID_Schedule"/>
    <x:tableColumn id="3" name="image_url"/>
    <x:tableColumn id="4" name="image_formula"/>
    <x:tableColumn id="5" name="image_type"/>
    <x:tableColumn id="6" name="sort_order"/>
    <x:tableColumn id="7" name="alt_text"/>
    <x:tableColumn id="8" name="source_page"/>
    <x:tableColumn id="9" name="source_note"/>
    <x:tableColumn id="10" name="usage_status"/>
  </x:tableColumns>
  <x:tableStyleInfo name="TableStyleMedium2" showRowStripes="1"/>
</x:table>
</file>

<file path=xl/tables/table20.xml><?xml version="1.0" encoding="utf-8"?>
<x:table xmlns:x="http://schemas.openxmlformats.org/spreadsheetml/2006/main" id="20" name="TourFeatureTable" displayName="TourFeatureTable" ref="A1:H73" headerRowCount="1">
  <x:tableColumns count="8">
    <x:tableColumn id="1" name="ID_Feature"/>
    <x:tableColumn id="2" name="ID_Schedule"/>
    <x:tableColumn id="3" name="feature_key"/>
    <x:tableColumn id="4" name="icon"/>
    <x:tableColumn id="5" name="title"/>
    <x:tableColumn id="6" name="value"/>
    <x:tableColumn id="7" name="description"/>
    <x:tableColumn id="8" name="sort_order"/>
  </x:tableColumns>
  <x:tableStyleInfo name="TableStyleMedium2" showRowStripes="1"/>
</x:table>
</file>

<file path=xl/tables/table21.xml><?xml version="1.0" encoding="utf-8"?>
<x:table xmlns:x="http://schemas.openxmlformats.org/spreadsheetml/2006/main" id="21" name="TourHighlightTable" displayName="TourHighlightTable" ref="A1:E49" headerRowCount="1">
  <x:tableColumns count="5">
    <x:tableColumn id="1" name="ID_Highlight"/>
    <x:tableColumn id="2" name="ID_Schedule"/>
    <x:tableColumn id="3" name="content"/>
    <x:tableColumn id="4" name="icon"/>
    <x:tableColumn id="5" name="sort_order"/>
  </x:tableColumns>
  <x:tableStyleInfo name="TableStyleMedium2" showRowStripes="1"/>
</x:table>
</file>

<file path=xl/tables/table22.xml><?xml version="1.0" encoding="utf-8"?>
<x:table xmlns:x="http://schemas.openxmlformats.org/spreadsheetml/2006/main" id="22" name="TourInclusionTable" displayName="TourInclusionTable" ref="A1:F97" headerRowCount="1">
  <x:tableColumns count="6">
    <x:tableColumn id="1" name="ID_Inclusion"/>
    <x:tableColumn id="2" name="ID_Schedule"/>
    <x:tableColumn id="3" name="inclusion_type"/>
    <x:tableColumn id="4" name="content"/>
    <x:tableColumn id="5" name="icon"/>
    <x:tableColumn id="6" name="sort_order"/>
  </x:tableColumns>
  <x:tableStyleInfo name="TableStyleMedium2" showRowStripes="1"/>
</x:table>
</file>

<file path=xl/tables/table23.xml><?xml version="1.0" encoding="utf-8"?>
<x:table xmlns:x="http://schemas.openxmlformats.org/spreadsheetml/2006/main" id="23" name="TourPolicyTable" displayName="TourPolicyTable" ref="A1:G61" headerRowCount="1">
  <x:tableColumns count="7">
    <x:tableColumn id="1" name="ID_Policy"/>
    <x:tableColumn id="2" name="ID_Schedule"/>
    <x:tableColumn id="3" name="policy_type"/>
    <x:tableColumn id="4" name="title"/>
    <x:tableColumn id="5" name="content"/>
    <x:tableColumn id="6" name="sort_order"/>
    <x:tableColumn id="7" name="is_demo"/>
  </x:tableColumns>
  <x:tableStyleInfo name="TableStyleMedium2" showRowStripes="1"/>
</x:table>
</file>

<file path=xl/tables/table24.xml><?xml version="1.0" encoding="utf-8"?>
<x:table xmlns:x="http://schemas.openxmlformats.org/spreadsheetml/2006/main" id="24" name="LocalImageMappingTable" displayName="LocalImageMappingTable" ref="A1:G58" headerRowCount="1">
  <x:tableColumns count="7">
    <x:tableColumn id="1" name="category"/>
    <x:tableColumn id="2" name="old_filename"/>
    <x:tableColumn id="3" name="new_filename"/>
    <x:tableColumn id="4" name="local_path"/>
    <x:tableColumn id="5" name="description"/>
    <x:tableColumn id="6" name="used_for"/>
    <x:tableColumn id="7" name="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6f7ce4eb38f423a" /></Relationships>
</file>

<file path=xl/worksheets/_rels/sheet2.xml.rels>&#65279;<?xml version="1.0" encoding="utf-8"?><Relationships xmlns="http://schemas.openxmlformats.org/package/2006/relationships"><Relationship Type="http://schemas.openxmlformats.org/officeDocument/2006/relationships/table" Target="/xl/tables/table1.xml" Id="R81f4b81791e94487" /></Relationships>
</file>

<file path=xl/worksheets/_rels/sheet3.xml.rels>&#65279;<?xml version="1.0" encoding="utf-8"?><Relationships xmlns="http://schemas.openxmlformats.org/package/2006/relationships"><Relationship Type="http://schemas.openxmlformats.org/officeDocument/2006/relationships/table" Target="/xl/tables/table2.xml" Id="Rbd37a74c2b4a4f48" /></Relationships>
</file>

<file path=xl/worksheets/_rels/sheet4.xml.rels>&#65279;<?xml version="1.0" encoding="utf-8"?><Relationships xmlns="http://schemas.openxmlformats.org/package/2006/relationships"><Relationship Type="http://schemas.openxmlformats.org/officeDocument/2006/relationships/table" Target="/xl/tables/table3.xml" Id="Ra2d5026191d942f2" /></Relationships>
</file>

<file path=xl/worksheets/_rels/sheet5.xml.rels>&#65279;<?xml version="1.0" encoding="utf-8"?><Relationships xmlns="http://schemas.openxmlformats.org/package/2006/relationships"><Relationship Type="http://schemas.openxmlformats.org/officeDocument/2006/relationships/table" Target="/xl/tables/table4.xml" Id="R30f3ca916c2b4335" /></Relationships>
</file>

<file path=xl/worksheets/_rels/sheet6.xml.rels>&#65279;<?xml version="1.0" encoding="utf-8"?><Relationships xmlns="http://schemas.openxmlformats.org/package/2006/relationships"><Relationship Type="http://schemas.openxmlformats.org/officeDocument/2006/relationships/table" Target="/xl/tables/table5.xml" Id="Rce2ee07fea404c8a" /></Relationships>
</file>

<file path=xl/worksheets/_rels/sheet7.xml.rels>&#65279;<?xml version="1.0" encoding="utf-8"?><Relationships xmlns="http://schemas.openxmlformats.org/package/2006/relationships"><Relationship Type="http://schemas.openxmlformats.org/officeDocument/2006/relationships/table" Target="/xl/tables/table6.xml" Id="R7d8273aa09614866" /></Relationships>
</file>

<file path=xl/worksheets/_rels/sheet8.xml.rels>&#65279;<?xml version="1.0" encoding="utf-8"?><Relationships xmlns="http://schemas.openxmlformats.org/package/2006/relationships"><Relationship Type="http://schemas.openxmlformats.org/officeDocument/2006/relationships/table" Target="/xl/tables/table7.xml" Id="R9f5c36dcc0a940c6" /></Relationships>
</file>

<file path=xl/worksheets/_rels/sheet9.xml.rels>&#65279;<?xml version="1.0" encoding="utf-8"?><Relationships xmlns="http://schemas.openxmlformats.org/package/2006/relationships"><Relationship Type="http://schemas.openxmlformats.org/officeDocument/2006/relationships/table" Target="/xl/tables/table8.xml" Id="R288d16c6d5de4779" /></Relationships>
</file>

<file path=xl/worksheets/_rels/sheet10.xml.rels>&#65279;<?xml version="1.0" encoding="utf-8"?><Relationships xmlns="http://schemas.openxmlformats.org/package/2006/relationships"><Relationship Type="http://schemas.openxmlformats.org/officeDocument/2006/relationships/table" Target="/xl/tables/table9.xml" Id="R2681dfb053c94f6c" /></Relationships>
</file>

<file path=xl/worksheets/_rels/sheet11.xml.rels>&#65279;<?xml version="1.0" encoding="utf-8"?><Relationships xmlns="http://schemas.openxmlformats.org/package/2006/relationships"><Relationship Type="http://schemas.openxmlformats.org/officeDocument/2006/relationships/table" Target="/xl/tables/table10.xml" Id="Re95dcdc12b774436" /></Relationships>
</file>

<file path=xl/worksheets/_rels/sheet12.xml.rels>&#65279;<?xml version="1.0" encoding="utf-8"?><Relationships xmlns="http://schemas.openxmlformats.org/package/2006/relationships"><Relationship Type="http://schemas.openxmlformats.org/officeDocument/2006/relationships/table" Target="/xl/tables/table11.xml" Id="R30903e9e1b7647dc" /></Relationships>
</file>

<file path=xl/worksheets/_rels/sheet13.xml.rels>&#65279;<?xml version="1.0" encoding="utf-8"?><Relationships xmlns="http://schemas.openxmlformats.org/package/2006/relationships"><Relationship Type="http://schemas.openxmlformats.org/officeDocument/2006/relationships/table" Target="/xl/tables/table12.xml" Id="R1268d29b6ec54dcb" /></Relationships>
</file>

<file path=xl/worksheets/_rels/sheet14.xml.rels>&#65279;<?xml version="1.0" encoding="utf-8"?><Relationships xmlns="http://schemas.openxmlformats.org/package/2006/relationships"><Relationship Type="http://schemas.openxmlformats.org/officeDocument/2006/relationships/table" Target="/xl/tables/table13.xml" Id="R94fabba8b3734585" /></Relationships>
</file>

<file path=xl/worksheets/_rels/sheet15.xml.rels>&#65279;<?xml version="1.0" encoding="utf-8"?><Relationships xmlns="http://schemas.openxmlformats.org/package/2006/relationships"><Relationship Type="http://schemas.openxmlformats.org/officeDocument/2006/relationships/table" Target="/xl/tables/table14.xml" Id="R1973a4efd0ed4f97" /></Relationships>
</file>

<file path=xl/worksheets/_rels/sheet16.xml.rels>&#65279;<?xml version="1.0" encoding="utf-8"?><Relationships xmlns="http://schemas.openxmlformats.org/package/2006/relationships"><Relationship Type="http://schemas.openxmlformats.org/officeDocument/2006/relationships/table" Target="/xl/tables/table15.xml" Id="R2856e5141741404a" /></Relationships>
</file>

<file path=xl/worksheets/_rels/sheet17.xml.rels>&#65279;<?xml version="1.0" encoding="utf-8"?><Relationships xmlns="http://schemas.openxmlformats.org/package/2006/relationships"><Relationship Type="http://schemas.openxmlformats.org/officeDocument/2006/relationships/table" Target="/xl/tables/table16.xml" Id="R921beb6dbd8943db" /></Relationships>
</file>

<file path=xl/worksheets/_rels/sheet18.xml.rels>&#65279;<?xml version="1.0" encoding="utf-8"?><Relationships xmlns="http://schemas.openxmlformats.org/package/2006/relationships"><Relationship Type="http://schemas.openxmlformats.org/officeDocument/2006/relationships/table" Target="/xl/tables/table17.xml" Id="R44f5643791e44eb3" /></Relationships>
</file>

<file path=xl/worksheets/_rels/sheet20.xml.rels>&#65279;<?xml version="1.0" encoding="utf-8"?><Relationships xmlns="http://schemas.openxmlformats.org/package/2006/relationships"><Relationship Type="http://schemas.openxmlformats.org/officeDocument/2006/relationships/table" Target="/xl/tables/table18.xml" Id="Rf06a93c6311149de" /></Relationships>
</file>

<file path=xl/worksheets/_rels/sheet21.xml.rels>&#65279;<?xml version="1.0" encoding="utf-8"?><Relationships xmlns="http://schemas.openxmlformats.org/package/2006/relationships"><Relationship Type="http://schemas.openxmlformats.org/officeDocument/2006/relationships/table" Target="/xl/tables/table19.xml" Id="R551a77cfd8a847be" /></Relationships>
</file>

<file path=xl/worksheets/_rels/sheet22.xml.rels>&#65279;<?xml version="1.0" encoding="utf-8"?><Relationships xmlns="http://schemas.openxmlformats.org/package/2006/relationships"><Relationship Type="http://schemas.openxmlformats.org/officeDocument/2006/relationships/table" Target="/xl/tables/table20.xml" Id="R214ee29a67004d8f" /></Relationships>
</file>

<file path=xl/worksheets/_rels/sheet23.xml.rels>&#65279;<?xml version="1.0" encoding="utf-8"?><Relationships xmlns="http://schemas.openxmlformats.org/package/2006/relationships"><Relationship Type="http://schemas.openxmlformats.org/officeDocument/2006/relationships/table" Target="/xl/tables/table21.xml" Id="Rca93823aac0b4727" /></Relationships>
</file>

<file path=xl/worksheets/_rels/sheet24.xml.rels>&#65279;<?xml version="1.0" encoding="utf-8"?><Relationships xmlns="http://schemas.openxmlformats.org/package/2006/relationships"><Relationship Type="http://schemas.openxmlformats.org/officeDocument/2006/relationships/table" Target="/xl/tables/table22.xml" Id="R1b2a526980984f0c" /></Relationships>
</file>

<file path=xl/worksheets/_rels/sheet25.xml.rels>&#65279;<?xml version="1.0" encoding="utf-8"?><Relationships xmlns="http://schemas.openxmlformats.org/package/2006/relationships"><Relationship Type="http://schemas.openxmlformats.org/officeDocument/2006/relationships/table" Target="/xl/tables/table23.xml" Id="R26628ffccb4a4388" /></Relationships>
</file>

<file path=xl/worksheets/_rels/sheet26.xml.rels>&#65279;<?xml version="1.0" encoding="utf-8"?><Relationships xmlns="http://schemas.openxmlformats.org/package/2006/relationships"><Relationship Type="http://schemas.openxmlformats.org/officeDocument/2006/relationships/table" Target="/xl/tables/table24.xml" Id="R1bd29c59bed6455d" /></Relationships>
</file>

<file path=xl/worksheets/sheet1.xml><?xml version="1.0" encoding="utf-8"?>
<x:worksheet xmlns:x="http://schemas.openxmlformats.org/spreadsheetml/2006/main">
  <x:sheetFormatPr defaultRowHeight="14.25"/>
  <x:cols>
    <x:col min="1" max="1" width="30" hidden="0" customWidth="1"/>
    <x:col min="2" max="2" width="70" hidden="0" customWidth="1"/>
    <x:col min="3" max="4" width="16" customWidth="1"/>
    <x:col min="5" max="5" width="18" customWidth="1"/>
    <x:col min="6" max="6" width="24" customWidth="1"/>
    <x:col min="7" max="7" width="58" customWidth="1"/>
    <x:col min="8" max="8" width="18" customWidth="1"/>
  </x:cols>
  <x:sheetData>
    <x:row r="1" ht="42" customHeight="1">
      <x:c r="A1" s="30" t="s">
        <x:v>0</x:v>
      </x:c>
      <x:c r="B1" s="30"/>
      <x:c r="C1" s="30"/>
      <x:c r="D1" s="30"/>
      <x:c r="E1" s="30"/>
      <x:c r="F1" s="30"/>
      <x:c r="G1" s="30"/>
      <x:c r="H1" s="31"/>
      <x:c r="I1" s="1"/>
      <x:c r="J1" s="1"/>
      <x:c r="K1" s="1"/>
      <x:c r="L1" s="1"/>
      <x:c r="M1" s="1"/>
      <x:c r="N1" s="1"/>
      <x:c r="O1" s="1"/>
      <x:c r="P1" s="1"/>
    </x:row>
    <x:row r="2" ht="15" customHeight="1">
      <x:c r="A2" s="2"/>
      <x:c r="B2" s="2"/>
      <x:c r="C2" s="2"/>
      <x:c r="D2" s="2"/>
      <x:c r="E2" s="2"/>
      <x:c r="F2" s="2"/>
      <x:c r="G2" s="2"/>
      <x:c r="H2" s="1"/>
      <x:c r="I2" s="1"/>
      <x:c r="J2" s="1"/>
      <x:c r="K2" s="1"/>
      <x:c r="L2" s="1"/>
      <x:c r="M2" s="1"/>
      <x:c r="N2" s="1"/>
      <x:c r="O2" s="1"/>
      <x:c r="P2" s="1"/>
    </x:row>
    <x:row r="3" ht="15" customHeight="1">
      <x:c r="A3" s="8" t="s">
        <x:v>1</x:v>
      </x:c>
      <x:c r="B3" s="32" t="s">
        <x:v>2</x:v>
      </x:c>
      <x:c r="C3" s="32"/>
      <x:c r="D3" s="32"/>
      <x:c r="E3" s="32"/>
      <x:c r="F3" s="32"/>
      <x:c r="G3" s="32"/>
      <x:c r="H3" s="31"/>
      <x:c r="I3" s="1"/>
      <x:c r="J3" s="1"/>
      <x:c r="K3" s="1"/>
      <x:c r="L3" s="1"/>
      <x:c r="M3" s="1"/>
      <x:c r="N3" s="1"/>
      <x:c r="O3" s="1"/>
      <x:c r="P3" s="1"/>
    </x:row>
    <x:row r="4" ht="15" customHeight="1">
      <x:c r="A4" s="2"/>
      <x:c r="B4" s="33"/>
      <x:c r="C4" s="33"/>
      <x:c r="D4" s="33"/>
      <x:c r="E4" s="33"/>
      <x:c r="F4" s="33"/>
      <x:c r="G4" s="33"/>
      <x:c r="H4" s="31"/>
      <x:c r="I4" s="1"/>
      <x:c r="J4" s="1"/>
      <x:c r="K4" s="1"/>
      <x:c r="L4" s="1"/>
      <x:c r="M4" s="1"/>
      <x:c r="N4" s="1"/>
      <x:c r="O4" s="1"/>
      <x:c r="P4" s="1"/>
    </x:row>
    <x:row r="5" ht="15" customHeight="1">
      <x:c r="A5" s="2"/>
      <x:c r="B5" s="2"/>
      <x:c r="C5" s="2"/>
      <x:c r="D5" s="2"/>
      <x:c r="E5" s="2"/>
      <x:c r="F5" s="2"/>
      <x:c r="G5" s="2"/>
      <x:c r="H5" s="1"/>
      <x:c r="I5" s="1"/>
      <x:c r="J5" s="1"/>
      <x:c r="K5" s="1"/>
      <x:c r="L5" s="1"/>
      <x:c r="M5" s="1"/>
      <x:c r="N5" s="1"/>
      <x:c r="O5" s="1"/>
      <x:c r="P5" s="1"/>
    </x:row>
    <x:row r="6" ht="15" customHeight="1">
      <x:c r="A6" s="9" t="s">
        <x:v>3</x:v>
      </x:c>
      <x:c r="B6" s="9" t="s">
        <x:v>4</x:v>
      </x:c>
      <x:c r="C6" s="2"/>
      <x:c r="D6" s="2"/>
      <x:c r="E6" s="2"/>
      <x:c r="F6" s="9" t="s">
        <x:v>5</x:v>
      </x:c>
      <x:c r="G6" s="9"/>
      <x:c r="H6" s="1"/>
      <x:c r="I6" s="1"/>
      <x:c r="J6" s="1"/>
      <x:c r="K6" s="1"/>
      <x:c r="L6" s="1"/>
      <x:c r="M6" s="1"/>
      <x:c r="N6" s="1"/>
      <x:c r="O6" s="1"/>
      <x:c r="P6" s="1"/>
    </x:row>
    <x:row r="7" ht="15" customHeight="1">
      <x:c r="A7" s="7" t="s">
        <x:v>6</x:v>
      </x:c>
      <x:c r="B7" s="7">
        <x:v>12</x:v>
      </x:c>
      <x:c r="C7" s="2"/>
      <x:c r="D7" s="2"/>
      <x:c r="E7" s="2"/>
      <x:c r="F7" s="10" t="s">
        <x:v>7</x:v>
      </x:c>
      <x:c r="G7" s="10" t="s">
        <x:v>8</x:v>
      </x:c>
      <x:c r="H7" s="1"/>
      <x:c r="I7" s="1"/>
      <x:c r="J7" s="1"/>
      <x:c r="K7" s="1"/>
      <x:c r="L7" s="1"/>
      <x:c r="M7" s="1"/>
      <x:c r="N7" s="1"/>
      <x:c r="O7" s="1"/>
      <x:c r="P7" s="1"/>
    </x:row>
    <x:row r="8" ht="15" customHeight="1">
      <x:c r="A8" s="7" t="s">
        <x:v>9</x:v>
      </x:c>
      <x:c r="B8" s="7">
        <x:v>4</x:v>
      </x:c>
      <x:c r="C8" s="2"/>
      <x:c r="D8" s="2"/>
      <x:c r="E8" s="2"/>
      <x:c r="F8" s="10" t="s">
        <x:v>10</x:v>
      </x:c>
      <x:c r="G8" s="10" t="s">
        <x:v>11</x:v>
      </x:c>
      <x:c r="H8" s="1"/>
      <x:c r="I8" s="1"/>
      <x:c r="J8" s="1"/>
      <x:c r="K8" s="1"/>
      <x:c r="L8" s="1"/>
      <x:c r="M8" s="1"/>
      <x:c r="N8" s="1"/>
      <x:c r="O8" s="1"/>
      <x:c r="P8" s="1"/>
    </x:row>
    <x:row r="9" ht="15" customHeight="1">
      <x:c r="A9" s="7" t="s">
        <x:v>12</x:v>
      </x:c>
      <x:c r="B9" s="7">
        <x:v>4</x:v>
      </x:c>
      <x:c r="C9" s="2"/>
      <x:c r="D9" s="2"/>
      <x:c r="E9" s="2"/>
      <x:c r="F9" s="10" t="s">
        <x:v>13</x:v>
      </x:c>
      <x:c r="G9" s="10" t="s">
        <x:v>14</x:v>
      </x:c>
      <x:c r="H9" s="1"/>
      <x:c r="I9" s="1"/>
      <x:c r="J9" s="1"/>
      <x:c r="K9" s="1"/>
      <x:c r="L9" s="1"/>
      <x:c r="M9" s="1"/>
      <x:c r="N9" s="1"/>
      <x:c r="O9" s="1"/>
      <x:c r="P9" s="1"/>
    </x:row>
    <x:row r="10" ht="15" customHeight="1">
      <x:c r="A10" s="7" t="s">
        <x:v>15</x:v>
      </x:c>
      <x:c r="B10" s="7">
        <x:v>4</x:v>
      </x:c>
      <x:c r="C10" s="2"/>
      <x:c r="D10" s="2"/>
      <x:c r="E10" s="2"/>
      <x:c r="F10" s="2"/>
      <x:c r="G10" s="2"/>
      <x:c r="H10" s="1"/>
      <x:c r="I10" s="1"/>
      <x:c r="J10" s="1"/>
      <x:c r="K10" s="1"/>
      <x:c r="L10" s="1"/>
      <x:c r="M10" s="1"/>
      <x:c r="N10" s="1"/>
      <x:c r="O10" s="1"/>
      <x:c r="P10" s="1"/>
    </x:row>
    <x:row r="11" ht="15" customHeight="1">
      <x:c r="A11" s="7" t="s">
        <x:v>16</x:v>
      </x:c>
      <x:c r="B11" s="7">
        <x:v>26</x:v>
      </x:c>
      <x:c r="C11" s="2"/>
      <x:c r="D11" s="2"/>
      <x:c r="E11" s="2"/>
      <x:c r="F11" s="2"/>
      <x:c r="G11" s="2"/>
      <x:c r="H11" s="1"/>
      <x:c r="I11" s="1"/>
      <x:c r="J11" s="1"/>
      <x:c r="K11" s="1"/>
      <x:c r="L11" s="1"/>
      <x:c r="M11" s="1"/>
      <x:c r="N11" s="1"/>
      <x:c r="O11" s="1"/>
      <x:c r="P11" s="1"/>
    </x:row>
    <x:row r="12" ht="15" customHeight="1">
      <x:c r="A12" s="7" t="s">
        <x:v>17</x:v>
      </x:c>
      <x:c r="B12" s="7">
        <x:v>67</x:v>
      </x:c>
      <x:c r="C12" s="2"/>
      <x:c r="D12" s="2"/>
      <x:c r="E12" s="2"/>
      <x:c r="F12" s="2"/>
      <x:c r="G12" s="2"/>
      <x:c r="H12" s="1"/>
      <x:c r="I12" s="1"/>
      <x:c r="J12" s="1"/>
      <x:c r="K12" s="1"/>
      <x:c r="L12" s="1"/>
      <x:c r="M12" s="1"/>
      <x:c r="N12" s="1"/>
      <x:c r="O12" s="1"/>
      <x:c r="P12" s="1"/>
    </x:row>
    <x:row r="13" ht="15" customHeight="1">
      <x:c r="A13" s="2"/>
      <x:c r="B13" s="2"/>
      <x:c r="C13" s="2"/>
      <x:c r="D13" s="2"/>
      <x:c r="E13" s="2"/>
      <x:c r="F13" s="2"/>
      <x:c r="G13" s="2"/>
      <x:c r="H13" s="1"/>
      <x:c r="I13" s="1"/>
      <x:c r="J13" s="1"/>
      <x:c r="K13" s="1"/>
      <x:c r="L13" s="1"/>
      <x:c r="M13" s="1"/>
      <x:c r="N13" s="1"/>
      <x:c r="O13" s="1"/>
      <x:c r="P13" s="1"/>
    </x:row>
    <x:row r="14" ht="15" customHeight="1">
      <x:c r="A14" s="2"/>
      <x:c r="B14" s="2"/>
      <x:c r="C14" s="2"/>
      <x:c r="D14" s="2"/>
      <x:c r="E14" s="2"/>
      <x:c r="F14" s="2"/>
      <x:c r="G14" s="2"/>
      <x:c r="H14" s="1"/>
      <x:c r="I14" s="1"/>
      <x:c r="J14" s="1"/>
      <x:c r="K14" s="1"/>
      <x:c r="L14" s="1"/>
      <x:c r="M14" s="1"/>
      <x:c r="N14" s="1"/>
      <x:c r="O14" s="1"/>
      <x:c r="P14" s="1"/>
    </x:row>
    <x:row r="15" ht="15" customHeight="1">
      <x:c r="A15" s="3" t="s">
        <x:v>18</x:v>
      </x:c>
      <x:c r="B15" s="3" t="s">
        <x:v>19</x:v>
      </x:c>
      <x:c r="C15" s="3" t="s">
        <x:v>20</x:v>
      </x:c>
      <x:c r="D15" s="3" t="s">
        <x:v>21</x:v>
      </x:c>
      <x:c r="E15" s="2"/>
      <x:c r="F15" s="2"/>
      <x:c r="G15" s="2"/>
      <x:c r="H15" s="1"/>
      <x:c r="I15" s="1"/>
      <x:c r="J15" s="1"/>
      <x:c r="K15" s="1"/>
      <x:c r="L15" s="1"/>
      <x:c r="M15" s="1"/>
      <x:c r="N15" s="1"/>
      <x:c r="O15" s="1"/>
      <x:c r="P15" s="1"/>
    </x:row>
    <x:row r="16" ht="15" customHeight="1">
      <x:c r="A16" s="11" t="s">
        <x:v>22</x:v>
      </x:c>
      <x:c r="B16" s="11">
        <x:v>4</x:v>
      </x:c>
      <x:c r="C16" s="12">
        <x:v>2665000</x:v>
      </x:c>
      <x:c r="D16" s="13" t="n">
        <x:f>ROUND(AVERAGEIF(Schedule!$C$2:$C$13,A16,Schedule!$F$2:$F$13),2)</x:f>
        <x:v>-7.95</x:v>
      </x:c>
      <x:c r="E16" s="2"/>
      <x:c r="F16" s="2"/>
      <x:c r="G16" s="2"/>
      <x:c r="H16" s="1"/>
      <x:c r="I16" s="1"/>
      <x:c r="J16" s="1"/>
      <x:c r="K16" s="1"/>
      <x:c r="L16" s="1"/>
      <x:c r="M16" s="1"/>
      <x:c r="N16" s="1"/>
      <x:c r="O16" s="1"/>
      <x:c r="P16" s="1"/>
    </x:row>
    <x:row r="17" ht="15" customHeight="1">
      <x:c r="A17" s="11" t="s">
        <x:v>23</x:v>
      </x:c>
      <x:c r="B17" s="11">
        <x:v>4</x:v>
      </x:c>
      <x:c r="C17" s="12">
        <x:v>2165000</x:v>
      </x:c>
      <x:c r="D17" s="13" t="n">
        <x:f>ROUND(AVERAGEIF(Schedule!$C$2:$C$13,A17,Schedule!$F$2:$F$13),2)</x:f>
        <x:v>-7.72</x:v>
      </x:c>
      <x:c r="E17" s="2"/>
      <x:c r="F17" s="2"/>
      <x:c r="G17" s="2"/>
      <x:c r="H17" s="1"/>
      <x:c r="I17" s="1"/>
      <x:c r="J17" s="1"/>
      <x:c r="K17" s="1"/>
      <x:c r="L17" s="1"/>
      <x:c r="M17" s="1"/>
      <x:c r="N17" s="1"/>
      <x:c r="O17" s="1"/>
      <x:c r="P17" s="1"/>
    </x:row>
    <x:row r="18" ht="15" customHeight="1">
      <x:c r="A18" s="11" t="s">
        <x:v>24</x:v>
      </x:c>
      <x:c r="B18" s="11">
        <x:v>4</x:v>
      </x:c>
      <x:c r="C18" s="12">
        <x:v>3415000</x:v>
      </x:c>
      <x:c r="D18" s="13" t="n">
        <x:f>ROUND(AVERAGEIF(Schedule!$C$2:$C$13,A18,Schedule!$F$2:$F$13),2)</x:f>
        <x:v>-10.67</x:v>
      </x:c>
      <x:c r="E18" s="2"/>
      <x:c r="F18" s="2"/>
      <x:c r="G18" s="2"/>
      <x:c r="H18" s="1"/>
      <x:c r="I18" s="1"/>
      <x:c r="J18" s="1"/>
      <x:c r="K18" s="1"/>
      <x:c r="L18" s="1"/>
      <x:c r="M18" s="1"/>
      <x:c r="N18" s="1"/>
      <x:c r="O18" s="1"/>
      <x:c r="P18" s="1"/>
    </x:row>
    <x:row r="19" ht="15" customHeight="1">
      <x:c r="A19" s="2"/>
      <x:c r="B19" s="2"/>
      <x:c r="C19" s="2"/>
      <x:c r="D19" s="2"/>
      <x:c r="E19" s="2"/>
      <x:c r="F19" s="2"/>
      <x:c r="G19" s="2"/>
      <x:c r="H19" s="1"/>
      <x:c r="I19" s="1"/>
      <x:c r="J19" s="1"/>
      <x:c r="K19" s="1"/>
      <x:c r="L19" s="1"/>
      <x:c r="M19" s="1"/>
      <x:c r="N19" s="1"/>
      <x:c r="O19" s="1"/>
      <x:c r="P19" s="1"/>
    </x:row>
    <x:row r="20" ht="15" customHeight="1">
      <x:c r="A20" s="34" t="s">
        <x:v>25</x:v>
      </x:c>
      <x:c r="B20" s="35"/>
      <x:c r="C20" s="35"/>
      <x:c r="D20" s="35"/>
      <x:c r="E20" s="35"/>
      <x:c r="F20" s="35"/>
      <x:c r="G20" s="35"/>
      <x:c r="H20" s="31"/>
      <x:c r="I20" s="1"/>
      <x:c r="J20" s="1"/>
      <x:c r="K20" s="1"/>
      <x:c r="L20" s="1"/>
      <x:c r="M20" s="1"/>
      <x:c r="N20" s="1"/>
      <x:c r="O20" s="1"/>
      <x:c r="P20" s="1"/>
    </x:row>
    <x:row r="21" ht="15" customHeight="1">
      <x:c r="A21" s="34" t="s">
        <x:v>26</x:v>
      </x:c>
      <x:c r="B21" s="35" t="s">
        <x:v>27</x:v>
      </x:c>
      <x:c r="C21" s="35"/>
      <x:c r="D21" s="35"/>
      <x:c r="E21" s="35"/>
      <x:c r="F21" s="35"/>
      <x:c r="G21" s="35"/>
      <x:c r="H21" s="31"/>
      <x:c r="I21" s="1"/>
      <x:c r="J21" s="1"/>
      <x:c r="K21" s="1"/>
      <x:c r="L21" s="1"/>
      <x:c r="M21" s="1"/>
      <x:c r="N21" s="1"/>
      <x:c r="O21" s="1"/>
      <x:c r="P21" s="1"/>
    </x:row>
    <x:row r="22" ht="15" customHeight="1">
      <x:c r="A22" s="15" t="s">
        <x:v>28</x:v>
      </x:c>
      <x:c r="B22" s="14" t="s">
        <x:v>29</x:v>
      </x:c>
      <x:c r="C22" s="14"/>
      <x:c r="D22" s="14"/>
      <x:c r="E22" s="14"/>
      <x:c r="F22" s="14"/>
      <x:c r="G22" s="14"/>
      <x:c r="H22" s="1"/>
      <x:c r="I22" s="1"/>
      <x:c r="J22" s="1"/>
      <x:c r="K22" s="1"/>
      <x:c r="L22" s="1"/>
      <x:c r="M22" s="1"/>
      <x:c r="N22" s="1"/>
      <x:c r="O22" s="1"/>
      <x:c r="P22" s="1"/>
    </x:row>
    <x:row r="23" ht="15" customHeight="1">
      <x:c r="A23" s="15" t="s">
        <x:v>30</x:v>
      </x:c>
      <x:c r="B23" s="14" t="s">
        <x:v>31</x:v>
      </x:c>
      <x:c r="C23" s="14"/>
      <x:c r="D23" s="14"/>
      <x:c r="E23" s="14"/>
      <x:c r="F23" s="14"/>
      <x:c r="G23" s="14"/>
      <x:c r="H23" s="1"/>
      <x:c r="I23" s="1"/>
      <x:c r="J23" s="1"/>
      <x:c r="K23" s="1"/>
      <x:c r="L23" s="1"/>
      <x:c r="M23" s="1"/>
      <x:c r="N23" s="1"/>
      <x:c r="O23" s="1"/>
      <x:c r="P23" s="1"/>
    </x:row>
    <x:row r="24" ht="15" customHeight="1">
      <x:c r="A24" s="15" t="s">
        <x:v>32</x:v>
      </x:c>
      <x:c r="B24" s="14" t="s">
        <x:v>33</x:v>
      </x:c>
      <x:c r="C24" s="14"/>
      <x:c r="D24" s="14"/>
      <x:c r="E24" s="14"/>
      <x:c r="F24" s="14"/>
      <x:c r="G24" s="14"/>
      <x:c r="H24" s="1"/>
      <x:c r="I24" s="1"/>
      <x:c r="J24" s="1"/>
      <x:c r="K24" s="1"/>
      <x:c r="L24" s="1"/>
      <x:c r="M24" s="1"/>
      <x:c r="N24" s="1"/>
      <x:c r="O24" s="1"/>
      <x:c r="P24" s="1"/>
    </x:row>
    <x:row r="25">
      <x:c r="A25" s="1"/>
      <x:c r="B25" s="1"/>
      <x:c r="C25" s="1"/>
      <x:c r="D25" s="1"/>
      <x:c r="E25" s="1"/>
      <x:c r="F25" s="1"/>
      <x:c r="G25" s="1"/>
      <x:c r="H25" s="1"/>
      <x:c r="I25" s="1"/>
      <x:c r="J25" s="1"/>
      <x:c r="K25" s="1"/>
      <x:c r="L25" s="1"/>
      <x:c r="M25" s="1"/>
      <x:c r="N25" s="1"/>
      <x:c r="O25" s="1"/>
      <x:c r="P25" s="1"/>
    </x:row>
    <x:row r="26">
      <x:c r="A26" s="154" t="str">
        <x:v>BỔ SUNG DỮ LIỆU CHO TRANG CHI TIẾT TOUR &amp; LUỒNG BOOKING</x:v>
      </x:c>
      <x:c r="B26" s="154"/>
      <x:c r="C26" s="154"/>
      <x:c r="D26" s="154"/>
      <x:c r="E26" s="154"/>
      <x:c r="F26" s="154"/>
      <x:c r="G26" s="154"/>
      <x:c r="H26" s="1"/>
      <x:c r="I26" s="1"/>
      <x:c r="J26" s="1"/>
      <x:c r="K26" s="1"/>
      <x:c r="L26" s="1"/>
      <x:c r="M26" s="1"/>
      <x:c r="N26" s="1"/>
      <x:c r="O26" s="1"/>
      <x:c r="P26" s="1"/>
    </x:row>
    <x:row r="27">
      <x:c r="A27" s="1"/>
      <x:c r="B27" s="1"/>
      <x:c r="C27" s="1"/>
      <x:c r="D27" s="1"/>
      <x:c r="E27" s="1"/>
      <x:c r="F27" s="1"/>
      <x:c r="G27" s="1"/>
      <x:c r="H27" s="1"/>
      <x:c r="I27" s="1"/>
      <x:c r="J27" s="1"/>
      <x:c r="K27" s="1"/>
      <x:c r="L27" s="1"/>
      <x:c r="M27" s="1"/>
      <x:c r="N27" s="1"/>
      <x:c r="O27" s="1"/>
      <x:c r="P27" s="1"/>
    </x:row>
    <x:row r="28">
      <x:c r="A28" s="126" t="str">
        <x:v>Hạng mục mới</x:v>
      </x:c>
      <x:c r="B28" s="126" t="str">
        <x:v>Số lượng</x:v>
      </x:c>
      <x:c r="C28" s="1"/>
      <x:c r="D28" s="1"/>
      <x:c r="E28" s="1"/>
      <x:c r="F28" s="1"/>
      <x:c r="G28" s="1"/>
      <x:c r="H28" s="1"/>
      <x:c r="I28" s="1"/>
      <x:c r="J28" s="1"/>
      <x:c r="K28" s="1"/>
      <x:c r="L28" s="1"/>
      <x:c r="M28" s="1"/>
      <x:c r="N28" s="1"/>
      <x:c r="O28" s="1"/>
      <x:c r="P28" s="1"/>
    </x:row>
    <x:row r="29">
      <x:c r="A29" s="1" t="str">
        <x:v>Đợt khởi hành</x:v>
      </x:c>
      <x:c r="B29" s="1" t="n">
        <x:f>COUNTA(TourDeparture!A:A)-1</x:f>
        <x:v>36</x:v>
      </x:c>
      <x:c r="C29" s="1"/>
      <x:c r="D29" s="1"/>
      <x:c r="E29" s="1"/>
      <x:c r="F29" s="1"/>
      <x:c r="G29" s="1"/>
      <x:c r="H29" s="1"/>
      <x:c r="I29" s="1"/>
      <x:c r="J29" s="1"/>
      <x:c r="K29" s="1"/>
      <x:c r="L29" s="1"/>
      <x:c r="M29" s="1"/>
      <x:c r="N29" s="1"/>
      <x:c r="O29" s="1"/>
      <x:c r="P29" s="1"/>
    </x:row>
    <x:row r="30">
      <x:c r="A30" s="1" t="str">
        <x:v>Ảnh tour</x:v>
      </x:c>
      <x:c r="B30" s="1" t="n">
        <x:f>COUNTA(TourImage!A:A)-1</x:f>
        <x:v>120</x:v>
      </x:c>
      <x:c r="C30" s="1"/>
      <x:c r="D30" s="1"/>
      <x:c r="E30" s="1"/>
      <x:c r="F30" s="1"/>
      <x:c r="G30" s="1"/>
      <x:c r="H30" s="1"/>
      <x:c r="I30" s="1"/>
      <x:c r="J30" s="1"/>
      <x:c r="K30" s="1"/>
      <x:c r="L30" s="1"/>
      <x:c r="M30" s="1"/>
      <x:c r="N30" s="1"/>
      <x:c r="O30" s="1"/>
      <x:c r="P30" s="1"/>
    </x:row>
    <x:row r="31">
      <x:c r="A31" s="1" t="str">
        <x:v>Đặc điểm tour</x:v>
      </x:c>
      <x:c r="B31" s="1" t="n">
        <x:f>COUNTA(TourFeature!A:A)-1</x:f>
        <x:v>72</x:v>
      </x:c>
      <x:c r="C31" s="1"/>
      <x:c r="D31" s="1"/>
      <x:c r="E31" s="1"/>
      <x:c r="F31" s="1"/>
      <x:c r="G31" s="1"/>
      <x:c r="H31" s="1"/>
      <x:c r="I31" s="1"/>
      <x:c r="J31" s="1"/>
      <x:c r="K31" s="1"/>
      <x:c r="L31" s="1"/>
      <x:c r="M31" s="1"/>
      <x:c r="N31" s="1"/>
      <x:c r="O31" s="1"/>
      <x:c r="P31" s="1"/>
    </x:row>
    <x:row r="32">
      <x:c r="A32" s="1" t="str">
        <x:v>Điểm nổi bật</x:v>
      </x:c>
      <x:c r="B32" s="1" t="n">
        <x:f>COUNTA(TourHighlight!A:A)-1</x:f>
        <x:v>48</x:v>
      </x:c>
      <x:c r="C32" s="1"/>
      <x:c r="D32" s="1"/>
      <x:c r="E32" s="1"/>
      <x:c r="F32" s="1"/>
      <x:c r="G32" s="1"/>
      <x:c r="H32" s="1"/>
      <x:c r="I32" s="1"/>
      <x:c r="J32" s="1"/>
      <x:c r="K32" s="1"/>
      <x:c r="L32" s="1"/>
      <x:c r="M32" s="1"/>
      <x:c r="N32" s="1"/>
      <x:c r="O32" s="1"/>
      <x:c r="P32" s="1"/>
    </x:row>
    <x:row r="33">
      <x:c r="A33" s="1" t="str">
        <x:v>Nội dung bao gồm/không bao gồm</x:v>
      </x:c>
      <x:c r="B33" s="1" t="n">
        <x:f>COUNTA(TourInclusion!A:A)-1</x:f>
        <x:v>96</x:v>
      </x:c>
      <x:c r="C33" s="1"/>
      <x:c r="D33" s="1"/>
      <x:c r="E33" s="1"/>
      <x:c r="F33" s="1"/>
      <x:c r="G33" s="1"/>
      <x:c r="H33" s="1"/>
      <x:c r="I33" s="1"/>
      <x:c r="J33" s="1"/>
      <x:c r="K33" s="1"/>
      <x:c r="L33" s="1"/>
      <x:c r="M33" s="1"/>
      <x:c r="N33" s="1"/>
      <x:c r="O33" s="1"/>
      <x:c r="P33" s="1"/>
    </x:row>
    <x:row r="34">
      <x:c r="A34" s="1" t="str">
        <x:v>Chính sách tour</x:v>
      </x:c>
      <x:c r="B34" s="1" t="n">
        <x:f>COUNTA(TourPolicy!A:A)-1</x:f>
        <x:v>60</x:v>
      </x:c>
      <x:c r="C34" s="1"/>
      <x:c r="D34" s="1"/>
      <x:c r="E34" s="1"/>
      <x:c r="F34" s="1"/>
      <x:c r="G34" s="1"/>
      <x:c r="H34" s="1"/>
      <x:c r="I34" s="1"/>
      <x:c r="J34" s="1"/>
      <x:c r="K34" s="1"/>
      <x:c r="L34" s="1"/>
      <x:c r="M34" s="1"/>
      <x:c r="N34" s="1"/>
      <x:c r="O34" s="1"/>
      <x:c r="P34" s="1"/>
    </x:row>
    <x:row r="35">
      <x:c r="A35" s="1" t="str">
        <x:v>Booking mẫu đã mở rộng</x:v>
      </x:c>
      <x:c r="B35" s="1" t="n">
        <x:v>12</x:v>
      </x:c>
      <x:c r="C35" s="1"/>
      <x:c r="D35" s="1"/>
      <x:c r="E35" s="1"/>
      <x:c r="F35" s="1"/>
      <x:c r="G35" s="1"/>
      <x:c r="H35" s="1"/>
      <x:c r="I35" s="1"/>
      <x:c r="J35" s="1"/>
      <x:c r="K35" s="1"/>
      <x:c r="L35" s="1"/>
      <x:c r="M35" s="1"/>
      <x:c r="N35" s="1"/>
      <x:c r="O35" s="1"/>
      <x:c r="P35" s="1"/>
    </x:row>
    <x:row r="36">
      <x:c r="A36" s="1"/>
      <x:c r="B36" s="1"/>
      <x:c r="C36" s="1"/>
      <x:c r="D36" s="1"/>
      <x:c r="E36" s="1"/>
      <x:c r="F36" s="1"/>
      <x:c r="G36" s="1"/>
      <x:c r="H36" s="1"/>
      <x:c r="I36" s="1"/>
      <x:c r="J36" s="1"/>
      <x:c r="K36" s="1"/>
      <x:c r="L36" s="1"/>
      <x:c r="M36" s="1"/>
      <x:c r="N36" s="1"/>
      <x:c r="O36" s="1"/>
      <x:c r="P36" s="1"/>
    </x:row>
    <x:row r="37">
      <x:c r="A37" s="157" t="str">
        <x:v>Nguyên tắc chỉnh sửa</x:v>
      </x:c>
      <x:c r="B37" s="93" t="str">
        <x:v>Toàn bộ cột và dữ liệu cũ được giữ nguyên; trường mới chỉ được nối thêm bên phải hoặc tạo thành sheet mới.</x:v>
      </x:c>
      <x:c r="C37" s="93"/>
      <x:c r="D37" s="93"/>
      <x:c r="E37" s="93"/>
      <x:c r="F37" s="93"/>
      <x:c r="G37" s="93"/>
      <x:c r="H37" s="1"/>
      <x:c r="I37" s="1"/>
      <x:c r="J37" s="1"/>
      <x:c r="K37" s="1"/>
      <x:c r="L37" s="1"/>
      <x:c r="M37" s="1"/>
      <x:c r="N37" s="1"/>
      <x:c r="O37" s="1"/>
      <x:c r="P37" s="1"/>
    </x:row>
    <x:row r="38">
      <x:c r="A38" s="157" t="str">
        <x:v>Quy tắc giá trẻ em</x:v>
      </x:c>
      <x:c r="B38" s="93" t="str">
        <x:v>Dữ liệu mẫu đang dùng 75% giá người lớn; cần thay bằng chính sách thật của từng nhà cung cấp trước khi vận hành.</x:v>
      </x:c>
      <x:c r="C38" s="93"/>
      <x:c r="D38" s="93"/>
      <x:c r="E38" s="93"/>
      <x:c r="F38" s="93"/>
      <x:c r="G38" s="93"/>
      <x:c r="H38" s="1"/>
      <x:c r="I38" s="1"/>
      <x:c r="J38" s="1"/>
      <x:c r="K38" s="1"/>
      <x:c r="L38" s="1"/>
      <x:c r="M38" s="1"/>
      <x:c r="N38" s="1"/>
      <x:c r="O38" s="1"/>
      <x:c r="P38" s="1"/>
    </x:row>
    <x:row r="39">
      <x:c r="A39" s="157" t="str">
        <x:v>Quy tắc giữ chỗ</x:v>
      </x:c>
      <x:c r="B39" s="93" t="str">
        <x:v>temporary_hold_minutes được lưu theo từng đợt khởi hành; hệ thống không mặc định mọi booking đều giữ 24 giờ.</x:v>
      </x:c>
      <x:c r="C39" s="93"/>
      <x:c r="D39" s="93"/>
      <x:c r="E39" s="93"/>
      <x:c r="F39" s="93"/>
      <x:c r="G39" s="93"/>
      <x:c r="H39" s="1"/>
      <x:c r="I39" s="1"/>
      <x:c r="J39" s="1"/>
      <x:c r="K39" s="1"/>
      <x:c r="L39" s="1"/>
      <x:c r="M39" s="1"/>
      <x:c r="N39" s="1"/>
      <x:c r="O39" s="1"/>
      <x:c r="P39" s="1"/>
    </x:row>
    <x:row r="40">
      <x:c r="A40" s="202" t="str">
        <x:v>Thư viện ảnh mỗi tour</x:v>
      </x:c>
      <x:c r="B40" s="93" t="str">
        <x:v>Mỗi tour hiện có 10 ảnh duy nhất: 1 ảnh cover và 9 ảnh gallery, đủ để mở mục “Xem tất cả ảnh”.</x:v>
      </x:c>
      <x:c r="C40" s="93"/>
      <x:c r="D40" s="93"/>
      <x:c r="E40" s="93"/>
      <x:c r="F40" s="93"/>
      <x:c r="G40" s="93"/>
      <x:c r="H40" s="1"/>
      <x:c r="I40" s="1"/>
      <x:c r="J40" s="1"/>
      <x:c r="K40" s="1"/>
      <x:c r="L40" s="1"/>
      <x:c r="M40" s="1"/>
      <x:c r="N40" s="1"/>
      <x:c r="O40" s="1"/>
      <x:c r="P40" s="1"/>
    </x:row>
    <x:row r="41">
      <x:c r="A41" s="211" t="str">
        <x:v>Cấu trúc ảnh đúng của dự án</x:v>
      </x:c>
      <x:c r="B41" s="93" t="str">
        <x:v>Thư mục thật: frontend/public/image/. Ảnh tour đặt trong frontend/public/image/tours; logo và avatar đặt trong frontend/public/image/greensteps.</x:v>
      </x:c>
      <x:c r="C41" s="93"/>
      <x:c r="D41" s="93"/>
      <x:c r="E41" s="93"/>
      <x:c r="F41" s="93"/>
      <x:c r="G41" s="93"/>
      <x:c r="H41" s="1"/>
      <x:c r="I41" s="1"/>
      <x:c r="J41" s="1"/>
      <x:c r="K41" s="1"/>
      <x:c r="L41" s="1"/>
      <x:c r="M41" s="1"/>
      <x:c r="N41" s="1"/>
      <x:c r="O41" s="1"/>
      <x:c r="P41" s="1"/>
    </x:row>
    <x:row r="42">
      <x:c r="A42" s="211" t="str">
        <x:v>Giá trị lưu trong CSDL</x:v>
      </x:c>
      <x:c r="B42" s="93" t="str">
        <x:v>Chỉ lưu URL tương đối bắt đầu bằng /image/, ví dụ /image/tours/phu-yen-bai-xep-checkin-01.jpg. Không lưu đường dẫn Windows hoặc frontend/public.</x:v>
      </x:c>
      <x:c r="C42" s="93"/>
      <x:c r="D42" s="93"/>
      <x:c r="E42" s="93"/>
      <x:c r="F42" s="93"/>
      <x:c r="G42" s="93"/>
      <x:c r="H42" s="1"/>
      <x:c r="I42" s="1"/>
      <x:c r="J42" s="1"/>
      <x:c r="K42" s="1"/>
      <x:c r="L42" s="1"/>
      <x:c r="M42" s="1"/>
      <x:c r="N42" s="1"/>
      <x:c r="O42" s="1"/>
      <x:c r="P42" s="1"/>
    </x:row>
    <x:row r="43">
      <x:c r="A43" s="211" t="str">
        <x:v>Công thức IMAGE</x:v>
      </x:c>
      <x:c r="B43" s="93" t="str">
        <x:v>Các cột image_formula để trống vì Excel không đọc ổn định đường dẫn local của dự án. Frontend sử dụng trực tiếp image_url.</x:v>
      </x:c>
      <x:c r="C43" s="93"/>
      <x:c r="D43" s="93"/>
      <x:c r="E43" s="93"/>
      <x:c r="F43" s="93"/>
      <x:c r="G43" s="93"/>
      <x:c r="H43" s="1"/>
      <x:c r="I43" s="1"/>
      <x:c r="J43" s="1"/>
      <x:c r="K43" s="1"/>
      <x:c r="L43" s="1"/>
      <x:c r="M43" s="1"/>
      <x:c r="N43" s="1"/>
      <x:c r="O43" s="1"/>
      <x:c r="P43" s="1"/>
    </x:row>
    <x:row r="44">
      <x:c r="A44" s="211" t="str">
        <x:v>Bảo toàn nguồn cũ</x:v>
      </x:c>
      <x:c r="B44" s="93" t="str">
        <x:v>URL online trước đây vẫn được lưu trong original_image_url để đối chiếu; không dùng original_image_url khi insert/update CSDL mới.</x:v>
      </x:c>
      <x:c r="C44" s="93"/>
      <x:c r="D44" s="93"/>
      <x:c r="E44" s="93"/>
      <x:c r="F44" s="93"/>
      <x:c r="G44" s="93"/>
      <x:c r="H44" s="1"/>
      <x:c r="I44" s="1"/>
      <x:c r="J44" s="1"/>
      <x:c r="K44" s="1"/>
      <x:c r="L44" s="1"/>
      <x:c r="M44" s="1"/>
      <x:c r="N44" s="1"/>
      <x:c r="O44" s="1"/>
      <x:c r="P44" s="1"/>
    </x:row>
    <x:row r="45">
      <x:c r="A45" s="1"/>
      <x:c r="B45" s="1"/>
      <x:c r="C45" s="1"/>
      <x:c r="D45" s="1"/>
      <x:c r="E45" s="1"/>
      <x:c r="F45" s="1"/>
      <x:c r="G45" s="1"/>
      <x:c r="H45" s="1"/>
      <x:c r="I45" s="1"/>
      <x:c r="J45" s="1"/>
      <x:c r="K45" s="1"/>
      <x:c r="L45" s="1"/>
      <x:c r="M45" s="1"/>
      <x:c r="N45" s="1"/>
      <x:c r="O45" s="1"/>
      <x:c r="P45" s="1"/>
    </x:row>
    <x:row r="46">
      <x:c r="A46" s="1"/>
      <x:c r="B46" s="1"/>
      <x:c r="C46" s="1"/>
      <x:c r="D46" s="1"/>
      <x:c r="E46" s="1"/>
      <x:c r="F46" s="1"/>
      <x:c r="G46" s="1"/>
      <x:c r="H46" s="1"/>
      <x:c r="I46" s="1"/>
      <x:c r="J46" s="1"/>
      <x:c r="K46" s="1"/>
      <x:c r="L46" s="1"/>
      <x:c r="M46" s="1"/>
      <x:c r="N46" s="1"/>
      <x:c r="O46" s="1"/>
      <x:c r="P46" s="1"/>
    </x:row>
    <x:row r="47">
      <x:c r="A47" s="1"/>
      <x:c r="B47" s="1"/>
      <x:c r="C47" s="1"/>
      <x:c r="D47" s="1"/>
      <x:c r="E47" s="1"/>
      <x:c r="F47" s="1"/>
      <x:c r="G47" s="1"/>
      <x:c r="H47" s="1"/>
      <x:c r="I47" s="1"/>
      <x:c r="J47" s="1"/>
      <x:c r="K47" s="1"/>
      <x:c r="L47" s="1"/>
      <x:c r="M47" s="1"/>
      <x:c r="N47" s="1"/>
      <x:c r="O47" s="1"/>
      <x:c r="P47" s="1"/>
    </x:row>
    <x:row r="48">
      <x:c r="A48" s="1"/>
      <x:c r="B48" s="1"/>
      <x:c r="C48" s="1"/>
      <x:c r="D48" s="1"/>
      <x:c r="E48" s="1"/>
      <x:c r="F48" s="1"/>
      <x:c r="G48" s="1"/>
      <x:c r="H48" s="1"/>
      <x:c r="I48" s="1"/>
      <x:c r="J48" s="1"/>
      <x:c r="K48" s="1"/>
      <x:c r="L48" s="1"/>
      <x:c r="M48" s="1"/>
      <x:c r="N48" s="1"/>
      <x:c r="O48" s="1"/>
      <x:c r="P48" s="1"/>
    </x:row>
    <x:row r="49">
      <x:c r="A49" s="1"/>
      <x:c r="B49" s="1"/>
      <x:c r="C49" s="1"/>
      <x:c r="D49" s="1"/>
      <x:c r="E49" s="1"/>
      <x:c r="F49" s="1"/>
      <x:c r="G49" s="1"/>
      <x:c r="H49" s="1"/>
      <x:c r="I49" s="1"/>
      <x:c r="J49" s="1"/>
      <x:c r="K49" s="1"/>
      <x:c r="L49" s="1"/>
      <x:c r="M49" s="1"/>
      <x:c r="N49" s="1"/>
      <x:c r="O49" s="1"/>
      <x:c r="P49" s="1"/>
    </x:row>
    <x:row r="50">
      <x:c r="A50" s="1"/>
      <x:c r="B50" s="1"/>
      <x:c r="C50" s="1"/>
      <x:c r="D50" s="1"/>
      <x:c r="E50" s="1"/>
      <x:c r="F50" s="1"/>
      <x:c r="G50" s="1"/>
      <x:c r="H50" s="1"/>
      <x:c r="I50" s="1"/>
      <x:c r="J50" s="1"/>
      <x:c r="K50" s="1"/>
      <x:c r="L50" s="1"/>
      <x:c r="M50" s="1"/>
      <x:c r="N50" s="1"/>
      <x:c r="O50" s="1"/>
      <x:c r="P50" s="1"/>
    </x:row>
    <x:row r="51">
      <x:c r="A51" s="1"/>
      <x:c r="B51" s="1"/>
      <x:c r="C51" s="1"/>
      <x:c r="D51" s="1"/>
      <x:c r="E51" s="1"/>
      <x:c r="F51" s="1"/>
      <x:c r="G51" s="1"/>
      <x:c r="H51" s="1"/>
      <x:c r="I51" s="1"/>
      <x:c r="J51" s="1"/>
      <x:c r="K51" s="1"/>
      <x:c r="L51" s="1"/>
      <x:c r="M51" s="1"/>
      <x:c r="N51" s="1"/>
      <x:c r="O51" s="1"/>
      <x:c r="P51" s="1"/>
    </x:row>
    <x:row r="52">
      <x:c r="A52" s="1"/>
      <x:c r="B52" s="1"/>
      <x:c r="C52" s="1"/>
      <x:c r="D52" s="1"/>
      <x:c r="E52" s="1"/>
      <x:c r="F52" s="1"/>
      <x:c r="G52" s="1"/>
      <x:c r="H52" s="1"/>
      <x:c r="I52" s="1"/>
      <x:c r="J52" s="1"/>
      <x:c r="K52" s="1"/>
      <x:c r="L52" s="1"/>
      <x:c r="M52" s="1"/>
      <x:c r="N52" s="1"/>
      <x:c r="O52" s="1"/>
      <x:c r="P52" s="1"/>
    </x:row>
    <x:row r="53">
      <x:c r="A53" s="1"/>
      <x:c r="B53" s="1"/>
      <x:c r="C53" s="1"/>
      <x:c r="D53" s="1"/>
      <x:c r="E53" s="1"/>
      <x:c r="F53" s="1"/>
      <x:c r="G53" s="1"/>
      <x:c r="H53" s="1"/>
      <x:c r="I53" s="1"/>
      <x:c r="J53" s="1"/>
      <x:c r="K53" s="1"/>
      <x:c r="L53" s="1"/>
      <x:c r="M53" s="1"/>
      <x:c r="N53" s="1"/>
      <x:c r="O53" s="1"/>
      <x:c r="P53" s="1"/>
    </x:row>
    <x:row r="54">
      <x:c r="A54" s="1"/>
      <x:c r="B54" s="1"/>
      <x:c r="C54" s="1"/>
      <x:c r="D54" s="1"/>
      <x:c r="E54" s="1"/>
      <x:c r="F54" s="1"/>
      <x:c r="G54" s="1"/>
      <x:c r="H54" s="1"/>
      <x:c r="I54" s="1"/>
      <x:c r="J54" s="1"/>
      <x:c r="K54" s="1"/>
      <x:c r="L54" s="1"/>
      <x:c r="M54" s="1"/>
      <x:c r="N54" s="1"/>
      <x:c r="O54" s="1"/>
      <x:c r="P54" s="1"/>
    </x:row>
    <x:row r="55">
      <x:c r="A55" s="1"/>
      <x:c r="B55" s="1"/>
      <x:c r="C55" s="1"/>
      <x:c r="D55" s="1"/>
      <x:c r="E55" s="1"/>
      <x:c r="F55" s="1"/>
      <x:c r="G55" s="1"/>
      <x:c r="H55" s="1"/>
      <x:c r="I55" s="1"/>
      <x:c r="J55" s="1"/>
      <x:c r="K55" s="1"/>
      <x:c r="L55" s="1"/>
      <x:c r="M55" s="1"/>
      <x:c r="N55" s="1"/>
      <x:c r="O55" s="1"/>
      <x:c r="P55" s="1"/>
    </x:row>
    <x:row r="56">
      <x:c r="A56" s="1"/>
      <x:c r="B56" s="1"/>
      <x:c r="C56" s="1"/>
      <x:c r="D56" s="1"/>
      <x:c r="E56" s="1"/>
      <x:c r="F56" s="1"/>
      <x:c r="G56" s="1"/>
      <x:c r="H56" s="1"/>
      <x:c r="I56" s="1"/>
      <x:c r="J56" s="1"/>
      <x:c r="K56" s="1"/>
      <x:c r="L56" s="1"/>
      <x:c r="M56" s="1"/>
      <x:c r="N56" s="1"/>
      <x:c r="O56" s="1"/>
      <x:c r="P56" s="1"/>
    </x:row>
    <x:row r="57">
      <x:c r="A57" s="1"/>
      <x:c r="B57" s="1"/>
      <x:c r="C57" s="1"/>
      <x:c r="D57" s="1"/>
      <x:c r="E57" s="1"/>
      <x:c r="F57" s="1"/>
      <x:c r="G57" s="1"/>
      <x:c r="H57" s="1"/>
      <x:c r="I57" s="1"/>
      <x:c r="J57" s="1"/>
      <x:c r="K57" s="1"/>
      <x:c r="L57" s="1"/>
      <x:c r="M57" s="1"/>
      <x:c r="N57" s="1"/>
      <x:c r="O57" s="1"/>
      <x:c r="P57" s="1"/>
    </x:row>
    <x:row r="58">
      <x:c r="A58" s="1"/>
      <x:c r="B58" s="1"/>
      <x:c r="C58" s="1"/>
      <x:c r="D58" s="1"/>
      <x:c r="E58" s="1"/>
      <x:c r="F58" s="1"/>
      <x:c r="G58" s="1"/>
      <x:c r="H58" s="1"/>
      <x:c r="I58" s="1"/>
      <x:c r="J58" s="1"/>
      <x:c r="K58" s="1"/>
      <x:c r="L58" s="1"/>
      <x:c r="M58" s="1"/>
      <x:c r="N58" s="1"/>
      <x:c r="O58" s="1"/>
      <x:c r="P58" s="1"/>
    </x:row>
    <x:row r="59">
      <x:c r="A59" s="1"/>
      <x:c r="B59" s="1"/>
      <x:c r="C59" s="1"/>
      <x:c r="D59" s="1"/>
      <x:c r="E59" s="1"/>
      <x:c r="F59" s="1"/>
      <x:c r="G59" s="1"/>
      <x:c r="H59" s="1"/>
      <x:c r="I59" s="1"/>
      <x:c r="J59" s="1"/>
      <x:c r="K59" s="1"/>
      <x:c r="L59" s="1"/>
      <x:c r="M59" s="1"/>
      <x:c r="N59" s="1"/>
      <x:c r="O59" s="1"/>
      <x:c r="P59" s="1"/>
    </x:row>
    <x:row r="60">
      <x:c r="A60" s="1"/>
      <x:c r="B60" s="1"/>
      <x:c r="C60" s="1"/>
      <x:c r="D60" s="1"/>
      <x:c r="E60" s="1"/>
      <x:c r="F60" s="1"/>
      <x:c r="G60" s="1"/>
      <x:c r="H60" s="1"/>
      <x:c r="I60" s="1"/>
      <x:c r="J60" s="1"/>
      <x:c r="K60" s="1"/>
      <x:c r="L60" s="1"/>
      <x:c r="M60" s="1"/>
      <x:c r="N60" s="1"/>
      <x:c r="O60" s="1"/>
      <x:c r="P60" s="1"/>
    </x:row>
    <x:row r="61">
      <x:c r="A61" s="1"/>
      <x:c r="B61" s="1"/>
      <x:c r="C61" s="1"/>
      <x:c r="D61" s="1"/>
      <x:c r="E61" s="1"/>
      <x:c r="F61" s="1"/>
      <x:c r="G61" s="1"/>
      <x:c r="H61" s="1"/>
      <x:c r="I61" s="1"/>
      <x:c r="J61" s="1"/>
      <x:c r="K61" s="1"/>
      <x:c r="L61" s="1"/>
      <x:c r="M61" s="1"/>
      <x:c r="N61" s="1"/>
      <x:c r="O61" s="1"/>
      <x:c r="P61" s="1"/>
    </x:row>
    <x:row r="62">
      <x:c r="A62" s="1"/>
      <x:c r="B62" s="1"/>
      <x:c r="C62" s="1"/>
      <x:c r="D62" s="1"/>
      <x:c r="E62" s="1"/>
      <x:c r="F62" s="1"/>
      <x:c r="G62" s="1"/>
      <x:c r="H62" s="1"/>
      <x:c r="I62" s="1"/>
      <x:c r="J62" s="1"/>
      <x:c r="K62" s="1"/>
      <x:c r="L62" s="1"/>
      <x:c r="M62" s="1"/>
      <x:c r="N62" s="1"/>
      <x:c r="O62" s="1"/>
      <x:c r="P62" s="1"/>
    </x:row>
    <x:row r="63">
      <x:c r="A63" s="1"/>
      <x:c r="B63" s="1"/>
      <x:c r="C63" s="1"/>
      <x:c r="D63" s="1"/>
      <x:c r="E63" s="1"/>
      <x:c r="F63" s="1"/>
      <x:c r="G63" s="1"/>
      <x:c r="H63" s="1"/>
      <x:c r="I63" s="1"/>
      <x:c r="J63" s="1"/>
      <x:c r="K63" s="1"/>
      <x:c r="L63" s="1"/>
      <x:c r="M63" s="1"/>
      <x:c r="N63" s="1"/>
      <x:c r="O63" s="1"/>
      <x:c r="P63" s="1"/>
    </x:row>
    <x:row r="64">
      <x:c r="A64" s="1"/>
      <x:c r="B64" s="1"/>
      <x:c r="C64" s="1"/>
      <x:c r="D64" s="1"/>
      <x:c r="E64" s="1"/>
      <x:c r="F64" s="1"/>
      <x:c r="G64" s="1"/>
      <x:c r="H64" s="1"/>
      <x:c r="I64" s="1"/>
      <x:c r="J64" s="1"/>
      <x:c r="K64" s="1"/>
      <x:c r="L64" s="1"/>
      <x:c r="M64" s="1"/>
      <x:c r="N64" s="1"/>
      <x:c r="O64" s="1"/>
      <x:c r="P64" s="1"/>
    </x:row>
    <x:row r="65">
      <x:c r="A65" s="1"/>
      <x:c r="B65" s="1"/>
      <x:c r="C65" s="1"/>
      <x:c r="D65" s="1"/>
      <x:c r="E65" s="1"/>
      <x:c r="F65" s="1"/>
      <x:c r="G65" s="1"/>
      <x:c r="H65" s="1"/>
      <x:c r="I65" s="1"/>
      <x:c r="J65" s="1"/>
      <x:c r="K65" s="1"/>
      <x:c r="L65" s="1"/>
      <x:c r="M65" s="1"/>
      <x:c r="N65" s="1"/>
      <x:c r="O65" s="1"/>
      <x:c r="P65" s="1"/>
    </x:row>
    <x:row r="66">
      <x:c r="A66" s="1"/>
      <x:c r="B66" s="1"/>
      <x:c r="C66" s="1"/>
      <x:c r="D66" s="1"/>
      <x:c r="E66" s="1"/>
      <x:c r="F66" s="1"/>
      <x:c r="G66" s="1"/>
      <x:c r="H66" s="1"/>
      <x:c r="I66" s="1"/>
      <x:c r="J66" s="1"/>
      <x:c r="K66" s="1"/>
      <x:c r="L66" s="1"/>
      <x:c r="M66" s="1"/>
      <x:c r="N66" s="1"/>
      <x:c r="O66" s="1"/>
      <x:c r="P66" s="1"/>
    </x:row>
    <x:row r="67">
      <x:c r="A67" s="1"/>
      <x:c r="B67" s="1"/>
      <x:c r="C67" s="1"/>
      <x:c r="D67" s="1"/>
      <x:c r="E67" s="1"/>
      <x:c r="F67" s="1"/>
      <x:c r="G67" s="1"/>
      <x:c r="H67" s="1"/>
      <x:c r="I67" s="1"/>
      <x:c r="J67" s="1"/>
      <x:c r="K67" s="1"/>
      <x:c r="L67" s="1"/>
      <x:c r="M67" s="1"/>
      <x:c r="N67" s="1"/>
      <x:c r="O67" s="1"/>
      <x:c r="P67" s="1"/>
    </x:row>
    <x:row r="68">
      <x:c r="A68" s="1"/>
      <x:c r="B68" s="1"/>
      <x:c r="C68" s="1"/>
      <x:c r="D68" s="1"/>
      <x:c r="E68" s="1"/>
      <x:c r="F68" s="1"/>
      <x:c r="G68" s="1"/>
      <x:c r="H68" s="1"/>
      <x:c r="I68" s="1"/>
      <x:c r="J68" s="1"/>
      <x:c r="K68" s="1"/>
      <x:c r="L68" s="1"/>
      <x:c r="M68" s="1"/>
      <x:c r="N68" s="1"/>
      <x:c r="O68" s="1"/>
      <x:c r="P68" s="1"/>
    </x:row>
    <x:row r="69">
      <x:c r="A69" s="1"/>
      <x:c r="B69" s="1"/>
      <x:c r="C69" s="1"/>
      <x:c r="D69" s="1"/>
      <x:c r="E69" s="1"/>
      <x:c r="F69" s="1"/>
      <x:c r="G69" s="1"/>
      <x:c r="H69" s="1"/>
      <x:c r="I69" s="1"/>
      <x:c r="J69" s="1"/>
      <x:c r="K69" s="1"/>
      <x:c r="L69" s="1"/>
      <x:c r="M69" s="1"/>
      <x:c r="N69" s="1"/>
      <x:c r="O69" s="1"/>
      <x:c r="P69" s="1"/>
    </x:row>
    <x:row r="70">
      <x:c r="A70" s="1"/>
      <x:c r="B70" s="1"/>
      <x:c r="C70" s="1"/>
      <x:c r="D70" s="1"/>
      <x:c r="E70" s="1"/>
      <x:c r="F70" s="1"/>
      <x:c r="G70" s="1"/>
      <x:c r="H70" s="1"/>
      <x:c r="I70" s="1"/>
      <x:c r="J70" s="1"/>
      <x:c r="K70" s="1"/>
      <x:c r="L70" s="1"/>
      <x:c r="M70" s="1"/>
      <x:c r="N70" s="1"/>
      <x:c r="O70" s="1"/>
      <x:c r="P70" s="1"/>
    </x:row>
    <x:row r="71">
      <x:c r="A71" s="1"/>
      <x:c r="B71" s="1"/>
      <x:c r="C71" s="1"/>
      <x:c r="D71" s="1"/>
      <x:c r="E71" s="1"/>
      <x:c r="F71" s="1"/>
      <x:c r="G71" s="1"/>
      <x:c r="H71" s="1"/>
      <x:c r="I71" s="1"/>
      <x:c r="J71" s="1"/>
      <x:c r="K71" s="1"/>
      <x:c r="L71" s="1"/>
      <x:c r="M71" s="1"/>
      <x:c r="N71" s="1"/>
      <x:c r="O71" s="1"/>
      <x:c r="P71" s="1"/>
    </x:row>
    <x:row r="72">
      <x:c r="A72" s="1"/>
      <x:c r="B72" s="1"/>
      <x:c r="C72" s="1"/>
      <x:c r="D72" s="1"/>
      <x:c r="E72" s="1"/>
      <x:c r="F72" s="1"/>
      <x:c r="G72" s="1"/>
      <x:c r="H72" s="1"/>
      <x:c r="I72" s="1"/>
      <x:c r="J72" s="1"/>
      <x:c r="K72" s="1"/>
      <x:c r="L72" s="1"/>
      <x:c r="M72" s="1"/>
      <x:c r="N72" s="1"/>
      <x:c r="O72" s="1"/>
      <x:c r="P72" s="1"/>
    </x:row>
    <x:row r="73">
      <x:c r="A73" s="1"/>
      <x:c r="B73" s="1"/>
      <x:c r="C73" s="1"/>
      <x:c r="D73" s="1"/>
      <x:c r="E73" s="1"/>
      <x:c r="F73" s="1"/>
      <x:c r="G73" s="1"/>
      <x:c r="H73" s="1"/>
      <x:c r="I73" s="1"/>
      <x:c r="J73" s="1"/>
      <x:c r="K73" s="1"/>
      <x:c r="L73" s="1"/>
      <x:c r="M73" s="1"/>
      <x:c r="N73" s="1"/>
      <x:c r="O73" s="1"/>
      <x:c r="P73" s="1"/>
    </x:row>
    <x:row r="74">
      <x:c r="A74" s="1"/>
      <x:c r="B74" s="1"/>
      <x:c r="C74" s="1"/>
      <x:c r="D74" s="1"/>
      <x:c r="E74" s="1"/>
      <x:c r="F74" s="1"/>
      <x:c r="G74" s="1"/>
      <x:c r="H74" s="1"/>
      <x:c r="I74" s="1"/>
      <x:c r="J74" s="1"/>
      <x:c r="K74" s="1"/>
      <x:c r="L74" s="1"/>
      <x:c r="M74" s="1"/>
      <x:c r="N74" s="1"/>
      <x:c r="O74" s="1"/>
      <x:c r="P74" s="1"/>
    </x:row>
    <x:row r="75">
      <x:c r="A75" s="1"/>
      <x:c r="B75" s="1"/>
      <x:c r="C75" s="1"/>
      <x:c r="D75" s="1"/>
      <x:c r="E75" s="1"/>
      <x:c r="F75" s="1"/>
      <x:c r="G75" s="1"/>
      <x:c r="H75" s="1"/>
      <x:c r="I75" s="1"/>
      <x:c r="J75" s="1"/>
      <x:c r="K75" s="1"/>
      <x:c r="L75" s="1"/>
      <x:c r="M75" s="1"/>
      <x:c r="N75" s="1"/>
      <x:c r="O75" s="1"/>
      <x:c r="P75" s="1"/>
    </x:row>
    <x:row r="76">
      <x:c r="A76" s="1"/>
      <x:c r="B76" s="1"/>
      <x:c r="C76" s="1"/>
      <x:c r="D76" s="1"/>
      <x:c r="E76" s="1"/>
      <x:c r="F76" s="1"/>
      <x:c r="G76" s="1"/>
      <x:c r="H76" s="1"/>
      <x:c r="I76" s="1"/>
      <x:c r="J76" s="1"/>
      <x:c r="K76" s="1"/>
      <x:c r="L76" s="1"/>
      <x:c r="M76" s="1"/>
      <x:c r="N76" s="1"/>
      <x:c r="O76" s="1"/>
      <x:c r="P76" s="1"/>
    </x:row>
    <x:row r="77">
      <x:c r="A77" s="1"/>
      <x:c r="B77" s="1"/>
      <x:c r="C77" s="1"/>
      <x:c r="D77" s="1"/>
      <x:c r="E77" s="1"/>
      <x:c r="F77" s="1"/>
      <x:c r="G77" s="1"/>
      <x:c r="H77" s="1"/>
      <x:c r="I77" s="1"/>
      <x:c r="J77" s="1"/>
      <x:c r="K77" s="1"/>
      <x:c r="L77" s="1"/>
      <x:c r="M77" s="1"/>
      <x:c r="N77" s="1"/>
      <x:c r="O77" s="1"/>
      <x:c r="P77" s="1"/>
    </x:row>
    <x:row r="78">
      <x:c r="A78" s="1"/>
      <x:c r="B78" s="1"/>
      <x:c r="C78" s="1"/>
      <x:c r="D78" s="1"/>
      <x:c r="E78" s="1"/>
      <x:c r="F78" s="1"/>
      <x:c r="G78" s="1"/>
      <x:c r="H78" s="1"/>
      <x:c r="I78" s="1"/>
      <x:c r="J78" s="1"/>
      <x:c r="K78" s="1"/>
      <x:c r="L78" s="1"/>
      <x:c r="M78" s="1"/>
      <x:c r="N78" s="1"/>
      <x:c r="O78" s="1"/>
      <x:c r="P78" s="1"/>
    </x:row>
    <x:row r="79">
      <x:c r="A79" s="1"/>
      <x:c r="B79" s="1"/>
      <x:c r="C79" s="1"/>
      <x:c r="D79" s="1"/>
      <x:c r="E79" s="1"/>
      <x:c r="F79" s="1"/>
      <x:c r="G79" s="1"/>
      <x:c r="H79" s="1"/>
      <x:c r="I79" s="1"/>
      <x:c r="J79" s="1"/>
      <x:c r="K79" s="1"/>
      <x:c r="L79" s="1"/>
      <x:c r="M79" s="1"/>
      <x:c r="N79" s="1"/>
      <x:c r="O79" s="1"/>
      <x:c r="P79" s="1"/>
    </x:row>
    <x:row r="80">
      <x:c r="A80" s="1"/>
      <x:c r="B80" s="1"/>
      <x:c r="C80" s="1"/>
      <x:c r="D80" s="1"/>
      <x:c r="E80" s="1"/>
      <x:c r="F80" s="1"/>
      <x:c r="G80" s="1"/>
      <x:c r="H80" s="1"/>
      <x:c r="I80" s="1"/>
      <x:c r="J80" s="1"/>
      <x:c r="K80" s="1"/>
      <x:c r="L80" s="1"/>
      <x:c r="M80" s="1"/>
      <x:c r="N80" s="1"/>
      <x:c r="O80" s="1"/>
      <x:c r="P80" s="1"/>
    </x:row>
    <x:row r="81">
      <x:c r="A81" s="1"/>
      <x:c r="B81" s="1"/>
      <x:c r="C81" s="1"/>
      <x:c r="D81" s="1"/>
      <x:c r="E81" s="1"/>
      <x:c r="F81" s="1"/>
      <x:c r="G81" s="1"/>
      <x:c r="H81" s="1"/>
      <x:c r="I81" s="1"/>
      <x:c r="J81" s="1"/>
      <x:c r="K81" s="1"/>
      <x:c r="L81" s="1"/>
      <x:c r="M81" s="1"/>
      <x:c r="N81" s="1"/>
      <x:c r="O81" s="1"/>
      <x:c r="P81" s="1"/>
    </x:row>
    <x:row r="82">
      <x:c r="A82" s="1"/>
      <x:c r="B82" s="1"/>
      <x:c r="C82" s="1"/>
      <x:c r="D82" s="1"/>
      <x:c r="E82" s="1"/>
      <x:c r="F82" s="1"/>
      <x:c r="G82" s="1"/>
      <x:c r="H82" s="1"/>
      <x:c r="I82" s="1"/>
      <x:c r="J82" s="1"/>
      <x:c r="K82" s="1"/>
      <x:c r="L82" s="1"/>
      <x:c r="M82" s="1"/>
      <x:c r="N82" s="1"/>
      <x:c r="O82" s="1"/>
      <x:c r="P82" s="1"/>
    </x:row>
    <x:row r="83">
      <x:c r="A83" s="1"/>
      <x:c r="B83" s="1"/>
      <x:c r="C83" s="1"/>
      <x:c r="D83" s="1"/>
      <x:c r="E83" s="1"/>
      <x:c r="F83" s="1"/>
      <x:c r="G83" s="1"/>
      <x:c r="H83" s="1"/>
      <x:c r="I83" s="1"/>
      <x:c r="J83" s="1"/>
      <x:c r="K83" s="1"/>
      <x:c r="L83" s="1"/>
      <x:c r="M83" s="1"/>
      <x:c r="N83" s="1"/>
      <x:c r="O83" s="1"/>
      <x:c r="P83" s="1"/>
    </x:row>
    <x:row r="84">
      <x:c r="A84" s="1"/>
      <x:c r="B84" s="1"/>
      <x:c r="C84" s="1"/>
      <x:c r="D84" s="1"/>
      <x:c r="E84" s="1"/>
      <x:c r="F84" s="1"/>
      <x:c r="G84" s="1"/>
      <x:c r="H84" s="1"/>
      <x:c r="I84" s="1"/>
      <x:c r="J84" s="1"/>
      <x:c r="K84" s="1"/>
      <x:c r="L84" s="1"/>
      <x:c r="M84" s="1"/>
      <x:c r="N84" s="1"/>
      <x:c r="O84" s="1"/>
      <x:c r="P84" s="1"/>
    </x:row>
    <x:row r="85">
      <x:c r="A85" s="1"/>
      <x:c r="B85" s="1"/>
      <x:c r="C85" s="1"/>
      <x:c r="D85" s="1"/>
      <x:c r="E85" s="1"/>
      <x:c r="F85" s="1"/>
      <x:c r="G85" s="1"/>
      <x:c r="H85" s="1"/>
      <x:c r="I85" s="1"/>
      <x:c r="J85" s="1"/>
      <x:c r="K85" s="1"/>
      <x:c r="L85" s="1"/>
      <x:c r="M85" s="1"/>
      <x:c r="N85" s="1"/>
      <x:c r="O85" s="1"/>
      <x:c r="P85" s="1"/>
    </x:row>
    <x:row r="86">
      <x:c r="A86" s="1"/>
      <x:c r="B86" s="1"/>
      <x:c r="C86" s="1"/>
      <x:c r="D86" s="1"/>
      <x:c r="E86" s="1"/>
      <x:c r="F86" s="1"/>
      <x:c r="G86" s="1"/>
      <x:c r="H86" s="1"/>
      <x:c r="I86" s="1"/>
      <x:c r="J86" s="1"/>
      <x:c r="K86" s="1"/>
      <x:c r="L86" s="1"/>
      <x:c r="M86" s="1"/>
      <x:c r="N86" s="1"/>
      <x:c r="O86" s="1"/>
      <x:c r="P86" s="1"/>
    </x:row>
    <x:row r="87">
      <x:c r="A87" s="1"/>
      <x:c r="B87" s="1"/>
      <x:c r="C87" s="1"/>
      <x:c r="D87" s="1"/>
      <x:c r="E87" s="1"/>
      <x:c r="F87" s="1"/>
      <x:c r="G87" s="1"/>
      <x:c r="H87" s="1"/>
      <x:c r="I87" s="1"/>
      <x:c r="J87" s="1"/>
      <x:c r="K87" s="1"/>
      <x:c r="L87" s="1"/>
      <x:c r="M87" s="1"/>
      <x:c r="N87" s="1"/>
      <x:c r="O87" s="1"/>
      <x:c r="P87" s="1"/>
    </x:row>
    <x:row r="88">
      <x:c r="A88" s="1"/>
      <x:c r="B88" s="1"/>
      <x:c r="C88" s="1"/>
      <x:c r="D88" s="1"/>
      <x:c r="E88" s="1"/>
      <x:c r="F88" s="1"/>
      <x:c r="G88" s="1"/>
      <x:c r="H88" s="1"/>
      <x:c r="I88" s="1"/>
      <x:c r="J88" s="1"/>
      <x:c r="K88" s="1"/>
      <x:c r="L88" s="1"/>
      <x:c r="M88" s="1"/>
      <x:c r="N88" s="1"/>
      <x:c r="O88" s="1"/>
      <x:c r="P88" s="1"/>
    </x:row>
    <x:row r="89">
      <x:c r="A89" s="1"/>
      <x:c r="B89" s="1"/>
      <x:c r="C89" s="1"/>
      <x:c r="D89" s="1"/>
      <x:c r="E89" s="1"/>
      <x:c r="F89" s="1"/>
      <x:c r="G89" s="1"/>
      <x:c r="H89" s="1"/>
      <x:c r="I89" s="1"/>
      <x:c r="J89" s="1"/>
      <x:c r="K89" s="1"/>
      <x:c r="L89" s="1"/>
      <x:c r="M89" s="1"/>
      <x:c r="N89" s="1"/>
      <x:c r="O89" s="1"/>
      <x:c r="P89" s="1"/>
    </x:row>
    <x:row r="90">
      <x:c r="A90" s="1"/>
      <x:c r="B90" s="1"/>
      <x:c r="C90" s="1"/>
      <x:c r="D90" s="1"/>
      <x:c r="E90" s="1"/>
      <x:c r="F90" s="1"/>
      <x:c r="G90" s="1"/>
      <x:c r="H90" s="1"/>
      <x:c r="I90" s="1"/>
      <x:c r="J90" s="1"/>
      <x:c r="K90" s="1"/>
      <x:c r="L90" s="1"/>
      <x:c r="M90" s="1"/>
      <x:c r="N90" s="1"/>
      <x:c r="O90" s="1"/>
      <x:c r="P90" s="1"/>
    </x:row>
    <x:row r="91">
      <x:c r="A91" s="1"/>
      <x:c r="B91" s="1"/>
      <x:c r="C91" s="1"/>
      <x:c r="D91" s="1"/>
      <x:c r="E91" s="1"/>
      <x:c r="F91" s="1"/>
      <x:c r="G91" s="1"/>
      <x:c r="H91" s="1"/>
      <x:c r="I91" s="1"/>
      <x:c r="J91" s="1"/>
      <x:c r="K91" s="1"/>
      <x:c r="L91" s="1"/>
      <x:c r="M91" s="1"/>
      <x:c r="N91" s="1"/>
      <x:c r="O91" s="1"/>
      <x:c r="P91" s="1"/>
    </x:row>
    <x:row r="92">
      <x:c r="A92" s="1"/>
      <x:c r="B92" s="1"/>
      <x:c r="C92" s="1"/>
      <x:c r="D92" s="1"/>
      <x:c r="E92" s="1"/>
      <x:c r="F92" s="1"/>
      <x:c r="G92" s="1"/>
      <x:c r="H92" s="1"/>
      <x:c r="I92" s="1"/>
      <x:c r="J92" s="1"/>
      <x:c r="K92" s="1"/>
      <x:c r="L92" s="1"/>
      <x:c r="M92" s="1"/>
      <x:c r="N92" s="1"/>
      <x:c r="O92" s="1"/>
      <x:c r="P92" s="1"/>
    </x:row>
    <x:row r="93">
      <x:c r="A93" s="1"/>
      <x:c r="B93" s="1"/>
      <x:c r="C93" s="1"/>
      <x:c r="D93" s="1"/>
      <x:c r="E93" s="1"/>
      <x:c r="F93" s="1"/>
      <x:c r="G93" s="1"/>
      <x:c r="H93" s="1"/>
      <x:c r="I93" s="1"/>
      <x:c r="J93" s="1"/>
      <x:c r="K93" s="1"/>
      <x:c r="L93" s="1"/>
      <x:c r="M93" s="1"/>
      <x:c r="N93" s="1"/>
      <x:c r="O93" s="1"/>
      <x:c r="P93" s="1"/>
    </x:row>
    <x:row r="94">
      <x:c r="A94" s="1"/>
      <x:c r="B94" s="1"/>
      <x:c r="C94" s="1"/>
      <x:c r="D94" s="1"/>
      <x:c r="E94" s="1"/>
      <x:c r="F94" s="1"/>
      <x:c r="G94" s="1"/>
      <x:c r="H94" s="1"/>
      <x:c r="I94" s="1"/>
      <x:c r="J94" s="1"/>
      <x:c r="K94" s="1"/>
      <x:c r="L94" s="1"/>
      <x:c r="M94" s="1"/>
      <x:c r="N94" s="1"/>
      <x:c r="O94" s="1"/>
      <x:c r="P94" s="1"/>
    </x:row>
    <x:row r="95">
      <x:c r="A95" s="1"/>
      <x:c r="B95" s="1"/>
      <x:c r="C95" s="1"/>
      <x:c r="D95" s="1"/>
      <x:c r="E95" s="1"/>
      <x:c r="F95" s="1"/>
      <x:c r="G95" s="1"/>
      <x:c r="H95" s="1"/>
      <x:c r="I95" s="1"/>
      <x:c r="J95" s="1"/>
      <x:c r="K95" s="1"/>
      <x:c r="L95" s="1"/>
      <x:c r="M95" s="1"/>
      <x:c r="N95" s="1"/>
      <x:c r="O95" s="1"/>
      <x:c r="P95" s="1"/>
    </x:row>
    <x:row r="96">
      <x:c r="A96" s="1"/>
      <x:c r="B96" s="1"/>
      <x:c r="C96" s="1"/>
      <x:c r="D96" s="1"/>
      <x:c r="E96" s="1"/>
      <x:c r="F96" s="1"/>
      <x:c r="G96" s="1"/>
      <x:c r="H96" s="1"/>
      <x:c r="I96" s="1"/>
      <x:c r="J96" s="1"/>
      <x:c r="K96" s="1"/>
      <x:c r="L96" s="1"/>
      <x:c r="M96" s="1"/>
      <x:c r="N96" s="1"/>
      <x:c r="O96" s="1"/>
      <x:c r="P96" s="1"/>
    </x:row>
    <x:row r="97">
      <x:c r="A97" s="1"/>
      <x:c r="B97" s="1"/>
      <x:c r="C97" s="1"/>
      <x:c r="D97" s="1"/>
      <x:c r="E97" s="1"/>
      <x:c r="F97" s="1"/>
      <x:c r="G97" s="1"/>
      <x:c r="H97" s="1"/>
      <x:c r="I97" s="1"/>
      <x:c r="J97" s="1"/>
      <x:c r="K97" s="1"/>
      <x:c r="L97" s="1"/>
      <x:c r="M97" s="1"/>
      <x:c r="N97" s="1"/>
      <x:c r="O97" s="1"/>
      <x:c r="P97" s="1"/>
    </x:row>
    <x:row r="98">
      <x:c r="A98" s="1"/>
      <x:c r="B98" s="1"/>
      <x:c r="C98" s="1"/>
      <x:c r="D98" s="1"/>
      <x:c r="E98" s="1"/>
      <x:c r="F98" s="1"/>
      <x:c r="G98" s="1"/>
      <x:c r="H98" s="1"/>
      <x:c r="I98" s="1"/>
      <x:c r="J98" s="1"/>
      <x:c r="K98" s="1"/>
      <x:c r="L98" s="1"/>
      <x:c r="M98" s="1"/>
      <x:c r="N98" s="1"/>
      <x:c r="O98" s="1"/>
      <x:c r="P98" s="1"/>
    </x:row>
    <x:row r="99">
      <x:c r="A99" s="1"/>
      <x:c r="B99" s="1"/>
      <x:c r="C99" s="1"/>
      <x:c r="D99" s="1"/>
      <x:c r="E99" s="1"/>
      <x:c r="F99" s="1"/>
      <x:c r="G99" s="1"/>
      <x:c r="H99" s="1"/>
      <x:c r="I99" s="1"/>
      <x:c r="J99" s="1"/>
      <x:c r="K99" s="1"/>
      <x:c r="L99" s="1"/>
      <x:c r="M99" s="1"/>
      <x:c r="N99" s="1"/>
      <x:c r="O99" s="1"/>
      <x:c r="P99" s="1"/>
    </x:row>
    <x:row r="100">
      <x:c r="A100" s="1"/>
      <x:c r="B100" s="1"/>
      <x:c r="C100" s="1"/>
      <x:c r="D100" s="1"/>
      <x:c r="E100" s="1"/>
      <x:c r="F100" s="1"/>
      <x:c r="G100" s="1"/>
      <x:c r="H100" s="1"/>
      <x:c r="I100" s="1"/>
      <x:c r="J100" s="1"/>
      <x:c r="K100" s="1"/>
      <x:c r="L100" s="1"/>
      <x:c r="M100" s="1"/>
      <x:c r="N100" s="1"/>
      <x:c r="O100" s="1"/>
      <x:c r="P100" s="1"/>
    </x:row>
    <x:row r="101">
      <x:c r="A101" s="1"/>
      <x:c r="B101" s="1"/>
      <x:c r="C101" s="1"/>
      <x:c r="D101" s="1"/>
      <x:c r="E101" s="1"/>
      <x:c r="F101" s="1"/>
      <x:c r="G101" s="1"/>
      <x:c r="H101" s="1"/>
      <x:c r="I101" s="1"/>
      <x:c r="J101" s="1"/>
      <x:c r="K101" s="1"/>
      <x:c r="L101" s="1"/>
      <x:c r="M101" s="1"/>
      <x:c r="N101" s="1"/>
      <x:c r="O101" s="1"/>
      <x:c r="P101" s="1"/>
    </x:row>
    <x:row r="102">
      <x:c r="A102" s="1"/>
      <x:c r="B102" s="1"/>
      <x:c r="C102" s="1"/>
      <x:c r="D102" s="1"/>
      <x:c r="E102" s="1"/>
      <x:c r="F102" s="1"/>
      <x:c r="G102" s="1"/>
      <x:c r="H102" s="1"/>
      <x:c r="I102" s="1"/>
      <x:c r="J102" s="1"/>
      <x:c r="K102" s="1"/>
      <x:c r="L102" s="1"/>
      <x:c r="M102" s="1"/>
      <x:c r="N102" s="1"/>
      <x:c r="O102" s="1"/>
      <x:c r="P102" s="1"/>
    </x:row>
    <x:row r="103">
      <x:c r="A103" s="1"/>
      <x:c r="B103" s="1"/>
      <x:c r="C103" s="1"/>
      <x:c r="D103" s="1"/>
      <x:c r="E103" s="1"/>
      <x:c r="F103" s="1"/>
      <x:c r="G103" s="1"/>
      <x:c r="H103" s="1"/>
      <x:c r="I103" s="1"/>
      <x:c r="J103" s="1"/>
      <x:c r="K103" s="1"/>
      <x:c r="L103" s="1"/>
      <x:c r="M103" s="1"/>
      <x:c r="N103" s="1"/>
      <x:c r="O103" s="1"/>
      <x:c r="P103" s="1"/>
    </x:row>
    <x:row r="104">
      <x:c r="A104" s="1"/>
      <x:c r="B104" s="1"/>
      <x:c r="C104" s="1"/>
      <x:c r="D104" s="1"/>
      <x:c r="E104" s="1"/>
      <x:c r="F104" s="1"/>
      <x:c r="G104" s="1"/>
      <x:c r="H104" s="1"/>
      <x:c r="I104" s="1"/>
      <x:c r="J104" s="1"/>
      <x:c r="K104" s="1"/>
      <x:c r="L104" s="1"/>
      <x:c r="M104" s="1"/>
      <x:c r="N104" s="1"/>
      <x:c r="O104" s="1"/>
      <x:c r="P104" s="1"/>
    </x:row>
    <x:row r="105">
      <x:c r="A105" s="1"/>
      <x:c r="B105" s="1"/>
      <x:c r="C105" s="1"/>
      <x:c r="D105" s="1"/>
      <x:c r="E105" s="1"/>
      <x:c r="F105" s="1"/>
      <x:c r="G105" s="1"/>
      <x:c r="H105" s="1"/>
      <x:c r="I105" s="1"/>
      <x:c r="J105" s="1"/>
      <x:c r="K105" s="1"/>
      <x:c r="L105" s="1"/>
      <x:c r="M105" s="1"/>
      <x:c r="N105" s="1"/>
      <x:c r="O105" s="1"/>
      <x:c r="P105" s="1"/>
    </x:row>
    <x:row r="106">
      <x:c r="A106" s="1"/>
      <x:c r="B106" s="1"/>
      <x:c r="C106" s="1"/>
      <x:c r="D106" s="1"/>
      <x:c r="E106" s="1"/>
      <x:c r="F106" s="1"/>
      <x:c r="G106" s="1"/>
      <x:c r="H106" s="1"/>
      <x:c r="I106" s="1"/>
      <x:c r="J106" s="1"/>
      <x:c r="K106" s="1"/>
      <x:c r="L106" s="1"/>
      <x:c r="M106" s="1"/>
      <x:c r="N106" s="1"/>
      <x:c r="O106" s="1"/>
      <x:c r="P106" s="1"/>
    </x:row>
    <x:row r="107">
      <x:c r="A107" s="1"/>
      <x:c r="B107" s="1"/>
      <x:c r="C107" s="1"/>
      <x:c r="D107" s="1"/>
      <x:c r="E107" s="1"/>
      <x:c r="F107" s="1"/>
      <x:c r="G107" s="1"/>
      <x:c r="H107" s="1"/>
      <x:c r="I107" s="1"/>
      <x:c r="J107" s="1"/>
      <x:c r="K107" s="1"/>
      <x:c r="L107" s="1"/>
      <x:c r="M107" s="1"/>
      <x:c r="N107" s="1"/>
      <x:c r="O107" s="1"/>
      <x:c r="P107" s="1"/>
    </x:row>
    <x:row r="108">
      <x:c r="A108" s="1"/>
      <x:c r="B108" s="1"/>
      <x:c r="C108" s="1"/>
      <x:c r="D108" s="1"/>
      <x:c r="E108" s="1"/>
      <x:c r="F108" s="1"/>
      <x:c r="G108" s="1"/>
      <x:c r="H108" s="1"/>
      <x:c r="I108" s="1"/>
      <x:c r="J108" s="1"/>
      <x:c r="K108" s="1"/>
      <x:c r="L108" s="1"/>
      <x:c r="M108" s="1"/>
      <x:c r="N108" s="1"/>
      <x:c r="O108" s="1"/>
      <x:c r="P108" s="1"/>
    </x:row>
    <x:row r="109">
      <x:c r="A109" s="1"/>
      <x:c r="B109" s="1"/>
      <x:c r="C109" s="1"/>
      <x:c r="D109" s="1"/>
      <x:c r="E109" s="1"/>
      <x:c r="F109" s="1"/>
      <x:c r="G109" s="1"/>
      <x:c r="H109" s="1"/>
      <x:c r="I109" s="1"/>
      <x:c r="J109" s="1"/>
      <x:c r="K109" s="1"/>
      <x:c r="L109" s="1"/>
      <x:c r="M109" s="1"/>
      <x:c r="N109" s="1"/>
      <x:c r="O109" s="1"/>
      <x:c r="P109" s="1"/>
    </x:row>
    <x:row r="110">
      <x:c r="A110" s="1"/>
      <x:c r="B110" s="1"/>
      <x:c r="C110" s="1"/>
      <x:c r="D110" s="1"/>
      <x:c r="E110" s="1"/>
      <x:c r="F110" s="1"/>
      <x:c r="G110" s="1"/>
      <x:c r="H110" s="1"/>
      <x:c r="I110" s="1"/>
      <x:c r="J110" s="1"/>
      <x:c r="K110" s="1"/>
      <x:c r="L110" s="1"/>
      <x:c r="M110" s="1"/>
      <x:c r="N110" s="1"/>
      <x:c r="O110" s="1"/>
      <x:c r="P110" s="1"/>
    </x:row>
    <x:row r="111">
      <x:c r="A111" s="1"/>
      <x:c r="B111" s="1"/>
      <x:c r="C111" s="1"/>
      <x:c r="D111" s="1"/>
      <x:c r="E111" s="1"/>
      <x:c r="F111" s="1"/>
      <x:c r="G111" s="1"/>
      <x:c r="H111" s="1"/>
      <x:c r="I111" s="1"/>
      <x:c r="J111" s="1"/>
      <x:c r="K111" s="1"/>
      <x:c r="L111" s="1"/>
      <x:c r="M111" s="1"/>
      <x:c r="N111" s="1"/>
      <x:c r="O111" s="1"/>
      <x:c r="P111" s="1"/>
    </x:row>
    <x:row r="112">
      <x:c r="A112" s="1"/>
      <x:c r="B112" s="1"/>
      <x:c r="C112" s="1"/>
      <x:c r="D112" s="1"/>
      <x:c r="E112" s="1"/>
      <x:c r="F112" s="1"/>
      <x:c r="G112" s="1"/>
      <x:c r="H112" s="1"/>
      <x:c r="I112" s="1"/>
      <x:c r="J112" s="1"/>
      <x:c r="K112" s="1"/>
      <x:c r="L112" s="1"/>
      <x:c r="M112" s="1"/>
      <x:c r="N112" s="1"/>
      <x:c r="O112" s="1"/>
      <x:c r="P112" s="1"/>
    </x:row>
    <x:row r="113">
      <x:c r="A113" s="1"/>
      <x:c r="B113" s="1"/>
      <x:c r="C113" s="1"/>
      <x:c r="D113" s="1"/>
      <x:c r="E113" s="1"/>
      <x:c r="F113" s="1"/>
      <x:c r="G113" s="1"/>
      <x:c r="H113" s="1"/>
      <x:c r="I113" s="1"/>
      <x:c r="J113" s="1"/>
      <x:c r="K113" s="1"/>
      <x:c r="L113" s="1"/>
      <x:c r="M113" s="1"/>
      <x:c r="N113" s="1"/>
      <x:c r="O113" s="1"/>
      <x:c r="P113" s="1"/>
    </x:row>
    <x:row r="114">
      <x:c r="A114" s="1"/>
      <x:c r="B114" s="1"/>
      <x:c r="C114" s="1"/>
      <x:c r="D114" s="1"/>
      <x:c r="E114" s="1"/>
      <x:c r="F114" s="1"/>
      <x:c r="G114" s="1"/>
      <x:c r="H114" s="1"/>
      <x:c r="I114" s="1"/>
      <x:c r="J114" s="1"/>
      <x:c r="K114" s="1"/>
      <x:c r="L114" s="1"/>
      <x:c r="M114" s="1"/>
      <x:c r="N114" s="1"/>
      <x:c r="O114" s="1"/>
      <x:c r="P114" s="1"/>
    </x:row>
    <x:row r="115">
      <x:c r="A115" s="1"/>
      <x:c r="B115" s="1"/>
      <x:c r="C115" s="1"/>
      <x:c r="D115" s="1"/>
      <x:c r="E115" s="1"/>
      <x:c r="F115" s="1"/>
      <x:c r="G115" s="1"/>
      <x:c r="H115" s="1"/>
      <x:c r="I115" s="1"/>
      <x:c r="J115" s="1"/>
      <x:c r="K115" s="1"/>
      <x:c r="L115" s="1"/>
      <x:c r="M115" s="1"/>
      <x:c r="N115" s="1"/>
      <x:c r="O115" s="1"/>
      <x:c r="P115" s="1"/>
    </x:row>
    <x:row r="116">
      <x:c r="A116" s="1"/>
      <x:c r="B116" s="1"/>
      <x:c r="C116" s="1"/>
      <x:c r="D116" s="1"/>
      <x:c r="E116" s="1"/>
      <x:c r="F116" s="1"/>
      <x:c r="G116" s="1"/>
      <x:c r="H116" s="1"/>
      <x:c r="I116" s="1"/>
      <x:c r="J116" s="1"/>
      <x:c r="K116" s="1"/>
      <x:c r="L116" s="1"/>
      <x:c r="M116" s="1"/>
      <x:c r="N116" s="1"/>
      <x:c r="O116" s="1"/>
      <x:c r="P116" s="1"/>
    </x:row>
    <x:row r="117">
      <x:c r="A117" s="1"/>
      <x:c r="B117" s="1"/>
      <x:c r="C117" s="1"/>
      <x:c r="D117" s="1"/>
      <x:c r="E117" s="1"/>
      <x:c r="F117" s="1"/>
      <x:c r="G117" s="1"/>
      <x:c r="H117" s="1"/>
      <x:c r="I117" s="1"/>
      <x:c r="J117" s="1"/>
      <x:c r="K117" s="1"/>
      <x:c r="L117" s="1"/>
      <x:c r="M117" s="1"/>
      <x:c r="N117" s="1"/>
      <x:c r="O117" s="1"/>
      <x:c r="P117" s="1"/>
    </x:row>
    <x:row r="118">
      <x:c r="A118" s="1"/>
      <x:c r="B118" s="1"/>
      <x:c r="C118" s="1"/>
      <x:c r="D118" s="1"/>
      <x:c r="E118" s="1"/>
      <x:c r="F118" s="1"/>
      <x:c r="G118" s="1"/>
      <x:c r="H118" s="1"/>
      <x:c r="I118" s="1"/>
      <x:c r="J118" s="1"/>
      <x:c r="K118" s="1"/>
      <x:c r="L118" s="1"/>
      <x:c r="M118" s="1"/>
      <x:c r="N118" s="1"/>
      <x:c r="O118" s="1"/>
      <x:c r="P118" s="1"/>
    </x:row>
    <x:row r="119">
      <x:c r="A119" s="1"/>
      <x:c r="B119" s="1"/>
      <x:c r="C119" s="1"/>
      <x:c r="D119" s="1"/>
      <x:c r="E119" s="1"/>
      <x:c r="F119" s="1"/>
      <x:c r="G119" s="1"/>
      <x:c r="H119" s="1"/>
      <x:c r="I119" s="1"/>
      <x:c r="J119" s="1"/>
      <x:c r="K119" s="1"/>
      <x:c r="L119" s="1"/>
      <x:c r="M119" s="1"/>
      <x:c r="N119" s="1"/>
      <x:c r="O119" s="1"/>
      <x:c r="P119" s="1"/>
    </x:row>
    <x:row r="120">
      <x:c r="A120" s="1"/>
      <x:c r="B120" s="1"/>
      <x:c r="C120" s="1"/>
      <x:c r="D120" s="1"/>
      <x:c r="E120" s="1"/>
      <x:c r="F120" s="1"/>
      <x:c r="G120" s="1"/>
      <x:c r="H120" s="1"/>
      <x:c r="I120" s="1"/>
      <x:c r="J120" s="1"/>
      <x:c r="K120" s="1"/>
      <x:c r="L120" s="1"/>
      <x:c r="M120" s="1"/>
      <x:c r="N120" s="1"/>
      <x:c r="O120" s="1"/>
      <x:c r="P120" s="1"/>
    </x:row>
  </x:sheetData>
  <x:mergeCells>
    <x:mergeCell ref="A1:H1"/>
    <x:mergeCell ref="B3:H4"/>
    <x:mergeCell ref="A20:H21"/>
    <x:mergeCell ref="A26:G26"/>
  </x:mergeCells>
  <x:pageMargins left="0.7" right="0.7" top="0.75" bottom="0.75" header="0.3" footer="0.3"/>
  <x:drawing xmlns:r="http://schemas.openxmlformats.org/officeDocument/2006/relationships" r:id="Rd6f7ce4eb38f423a"/>
</x:worksheet>
</file>

<file path=xl/worksheets/sheet2.xml><?xml version="1.0" encoding="utf-8"?>
<x:worksheet xmlns:x="http://schemas.openxmlformats.org/spreadsheetml/2006/main">
  <x:sheetFormatPr defaultRowHeight="14.25"/>
  <x:cols>
    <x:col min="1" max="1" width="25.375" customWidth="1"/>
    <x:col min="2" max="2" width="66.875" customWidth="1"/>
    <x:col min="3" max="3" width="13.75" customWidth="1"/>
  </x:cols>
  <x:sheetData>
    <x:row r="1" ht="15" customHeight="1">
      <x:c r="A1" s="4" t="s">
        <x:v>34</x:v>
      </x:c>
      <x:c r="B1" s="4" t="s">
        <x:v>35</x:v>
      </x:c>
      <x:c r="C1" s="4" t="s">
        <x:v>36</x:v>
      </x:c>
    </x:row>
    <x:row r="2" ht="15" customHeight="1">
      <x:c r="A2" s="2" t="s">
        <x:v>37</x:v>
      </x:c>
      <x:c r="B2" s="2" t="s">
        <x:v>38</x:v>
      </x:c>
      <x:c r="C2" s="2">
        <x:v>1</x:v>
      </x:c>
    </x:row>
    <x:row r="3" ht="15" customHeight="1">
      <x:c r="A3" s="2" t="s">
        <x:v>39</x:v>
      </x:c>
      <x:c r="B3" s="2" t="s">
        <x:v>40</x:v>
      </x:c>
      <x:c r="C3" s="2">
        <x:v>1</x:v>
      </x:c>
    </x:row>
    <x:row r="4" ht="15" customHeight="1">
      <x:c r="A4" s="2" t="s">
        <x:v>41</x:v>
      </x:c>
      <x:c r="B4" s="2" t="s">
        <x:v>42</x:v>
      </x:c>
      <x:c r="C4" s="2">
        <x:v>1</x:v>
      </x:c>
    </x:row>
    <x:row r="5" ht="15" customHeight="1">
      <x:c r="A5" s="2" t="s">
        <x:v>43</x:v>
      </x:c>
      <x:c r="B5" s="2" t="s">
        <x:v>44</x:v>
      </x:c>
      <x:c r="C5" s="2">
        <x:v>1</x:v>
      </x:c>
    </x:row>
    <x:row r="6" ht="15" customHeight="1">
      <x:c r="A6" s="2" t="s">
        <x:v>45</x:v>
      </x:c>
      <x:c r="B6" s="2" t="s">
        <x:v>46</x:v>
      </x:c>
      <x:c r="C6" s="2">
        <x:v>1</x:v>
      </x:c>
    </x:row>
    <x:row r="7" ht="15" customHeight="1">
      <x:c r="A7" s="2" t="s">
        <x:v>47</x:v>
      </x:c>
      <x:c r="B7" s="2" t="s">
        <x:v>48</x:v>
      </x:c>
      <x:c r="C7" s="2">
        <x:v>1</x:v>
      </x:c>
    </x:row>
    <x:row r="8" ht="15" customHeight="1">
      <x:c r="A8" s="2" t="s">
        <x:v>49</x:v>
      </x:c>
      <x:c r="B8" s="2" t="s">
        <x:v>50</x:v>
      </x:c>
      <x:c r="C8" s="2">
        <x:v>1</x:v>
      </x:c>
    </x:row>
    <x:row r="9" ht="15" customHeight="1">
      <x:c r="A9" s="2" t="s">
        <x:v>51</x:v>
      </x:c>
      <x:c r="B9" s="2" t="s">
        <x:v>52</x:v>
      </x:c>
      <x:c r="C9" s="2">
        <x:v>1</x:v>
      </x:c>
    </x:row>
  </x:sheetData>
  <x:pageMargins left="0.7" right="0.7" top="0.75" bottom="0.75" header="0.3" footer="0.3"/>
  <x:tableParts count="1">
    <x:tablePart xmlns:r="http://schemas.openxmlformats.org/officeDocument/2006/relationships" r:id="R81f4b81791e94487"/>
  </x:tableParts>
</x:worksheet>
</file>

<file path=xl/worksheets/sheet3.xml><?xml version="1.0" encoding="utf-8"?>
<x:worksheet xmlns:x="http://schemas.openxmlformats.org/spreadsheetml/2006/main">
  <x:sheetFormatPr defaultRowHeight="14.25"/>
  <x:cols>
    <x:col min="1" max="1" width="13" customWidth="1"/>
    <x:col min="2" max="2" width="30.125" customWidth="1"/>
    <x:col min="3" max="3" width="98.25" customWidth="1"/>
    <x:col min="4" max="4" width="15.125" customWidth="1"/>
  </x:cols>
  <x:sheetData>
    <x:row r="1" ht="15" customHeight="1">
      <x:c r="A1" s="4" t="s">
        <x:v>53</x:v>
      </x:c>
      <x:c r="B1" s="4" t="s">
        <x:v>54</x:v>
      </x:c>
      <x:c r="C1" s="4" t="s">
        <x:v>55</x:v>
      </x:c>
      <x:c r="D1" s="4" t="s">
        <x:v>56</x:v>
      </x:c>
    </x:row>
    <x:row r="2" ht="15" customHeight="1">
      <x:c r="A2" s="2" t="s">
        <x:v>57</x:v>
      </x:c>
      <x:c r="B2" s="2" t="s">
        <x:v>58</x:v>
      </x:c>
      <x:c r="C2" s="2" t="s">
        <x:v>59</x:v>
      </x:c>
      <x:c r="D2" s="2" t="s">
        <x:v>60</x:v>
      </x:c>
    </x:row>
  </x:sheetData>
  <x:dataValidations count="1">
    <x:dataValidation type="list" sqref="D2">
      <x:formula1>"active,inactive"</x:formula1>
    </x:dataValidation>
  </x:dataValidations>
  <x:pageMargins left="0.7" right="0.7" top="0.75" bottom="0.75" header="0.3" footer="0.3"/>
  <x:tableParts count="1">
    <x:tablePart xmlns:r="http://schemas.openxmlformats.org/officeDocument/2006/relationships" r:id="Rbd37a74c2b4a4f48"/>
  </x:tableParts>
</x:worksheet>
</file>

<file path=xl/worksheets/sheet4.xml><?xml version="1.0" encoding="utf-8"?>
<x:worksheet xmlns:x="http://schemas.openxmlformats.org/spreadsheetml/2006/main">
  <x:sheetFormatPr defaultRowHeight="14.25"/>
  <x:cols>
    <x:col min="1" max="1" width="16" customWidth="1"/>
    <x:col min="2" max="2" width="12" customWidth="1"/>
    <x:col min="3" max="4" width="20" customWidth="1"/>
    <x:col min="5" max="5" width="28" customWidth="1"/>
    <x:col min="6" max="6" width="16" customWidth="1"/>
    <x:col min="7" max="7" width="14" customWidth="1"/>
    <x:col min="8" max="8" width="12" customWidth="1"/>
    <x:col min="9" max="9" width="28" customWidth="1"/>
    <x:col min="10" max="10" width="18" customWidth="1"/>
    <x:col min="11" max="11" width="26" customWidth="1"/>
    <x:col min="12" max="12" width="24" customWidth="1"/>
    <x:col min="13" max="13" width="48" hidden="0" customWidth="1"/>
  </x:cols>
  <x:sheetData>
    <x:row r="1" ht="15" customHeight="1">
      <x:c r="A1" s="4" t="s">
        <x:v>61</x:v>
      </x:c>
      <x:c r="B1" s="4" t="s">
        <x:v>62</x:v>
      </x:c>
      <x:c r="C1" s="4" t="s">
        <x:v>63</x:v>
      </x:c>
      <x:c r="D1" s="4" t="s">
        <x:v>64</x:v>
      </x:c>
      <x:c r="E1" s="4" t="s">
        <x:v>65</x:v>
      </x:c>
      <x:c r="F1" s="4" t="s">
        <x:v>66</x:v>
      </x:c>
      <x:c r="G1" s="4" t="s">
        <x:v>67</x:v>
      </x:c>
      <x:c r="H1" s="4" t="s">
        <x:v>68</x:v>
      </x:c>
      <x:c r="I1" s="4" t="s">
        <x:v>69</x:v>
      </x:c>
      <x:c r="J1" s="4" t="s">
        <x:v>70</x:v>
      </x:c>
      <x:c r="K1" s="4" t="s">
        <x:v>71</x:v>
      </x:c>
      <x:c r="L1" s="4" t="s">
        <x:v>72</x:v>
      </x:c>
      <x:c r="M1" s="207" t="str">
        <x:v>avatar_url</x:v>
      </x:c>
    </x:row>
    <x:row r="2" ht="15" customHeight="1">
      <x:c r="A2" s="2" t="s">
        <x:v>73</x:v>
      </x:c>
      <x:c r="B2" s="2" t="s">
        <x:v>74</x:v>
      </x:c>
      <x:c r="C2" s="2" t="s">
        <x:v>75</x:v>
      </x:c>
      <x:c r="D2" s="2" t="s">
        <x:v>76</x:v>
      </x:c>
      <x:c r="E2" s="2" t="s">
        <x:v>77</x:v>
      </x:c>
      <x:c r="F2" s="2" t="s">
        <x:v>78</x:v>
      </x:c>
      <x:c r="G2" s="2" t="s">
        <x:v>79</x:v>
      </x:c>
      <x:c r="H2" s="2" t="s">
        <x:v>80</x:v>
      </x:c>
      <x:c r="I2" s="2" t="s">
        <x:v>74</x:v>
      </x:c>
      <x:c r="J2" s="2" t="s">
        <x:v>81</x:v>
      </x:c>
      <x:c r="K2" s="2" t="s">
        <x:v>82</x:v>
      </x:c>
      <x:c r="L2" s="2" t="s">
        <x:v>83</x:v>
      </x:c>
      <x:c r="M2" s="127"/>
    </x:row>
    <x:row r="3" ht="15" customHeight="1">
      <x:c r="A3" s="2" t="s">
        <x:v>84</x:v>
      </x:c>
      <x:c r="B3" s="2" t="s">
        <x:v>74</x:v>
      </x:c>
      <x:c r="C3" s="2" t="s">
        <x:v>85</x:v>
      </x:c>
      <x:c r="D3" s="2" t="s">
        <x:v>86</x:v>
      </x:c>
      <x:c r="E3" s="2" t="s">
        <x:v>87</x:v>
      </x:c>
      <x:c r="F3" s="2" t="s">
        <x:v>88</x:v>
      </x:c>
      <x:c r="G3" s="2" t="s">
        <x:v>89</x:v>
      </x:c>
      <x:c r="H3" s="2" t="s">
        <x:v>90</x:v>
      </x:c>
      <x:c r="I3" s="2" t="s">
        <x:v>91</x:v>
      </x:c>
      <x:c r="J3" s="2" t="s">
        <x:v>92</x:v>
      </x:c>
      <x:c r="K3" s="2" t="s">
        <x:v>93</x:v>
      </x:c>
      <x:c r="L3" s="2" t="s">
        <x:v>94</x:v>
      </x:c>
      <x:c r="M3" s="127"/>
    </x:row>
    <x:row r="4" ht="15" customHeight="1">
      <x:c r="A4" s="2" t="s">
        <x:v>95</x:v>
      </x:c>
      <x:c r="B4" s="2" t="s">
        <x:v>74</x:v>
      </x:c>
      <x:c r="C4" s="2" t="s">
        <x:v>96</x:v>
      </x:c>
      <x:c r="D4" s="2" t="s">
        <x:v>97</x:v>
      </x:c>
      <x:c r="E4" s="2" t="s">
        <x:v>98</x:v>
      </x:c>
      <x:c r="F4" s="2" t="s">
        <x:v>99</x:v>
      </x:c>
      <x:c r="G4" s="2" t="s">
        <x:v>100</x:v>
      </x:c>
      <x:c r="H4" s="2" t="s">
        <x:v>101</x:v>
      </x:c>
      <x:c r="I4" s="2" t="s">
        <x:v>74</x:v>
      </x:c>
      <x:c r="J4" s="2" t="s">
        <x:v>102</x:v>
      </x:c>
      <x:c r="K4" s="2" t="s">
        <x:v>103</x:v>
      </x:c>
      <x:c r="L4" s="2" t="s">
        <x:v>104</x:v>
      </x:c>
      <x:c r="M4" s="127"/>
    </x:row>
    <x:row r="5" ht="15" customHeight="1">
      <x:c r="A5" s="2" t="s">
        <x:v>105</x:v>
      </x:c>
      <x:c r="B5" s="2" t="s">
        <x:v>91</x:v>
      </x:c>
      <x:c r="C5" s="2" t="s">
        <x:v>106</x:v>
      </x:c>
      <x:c r="D5" s="2" t="s">
        <x:v>107</x:v>
      </x:c>
      <x:c r="E5" s="2" t="s">
        <x:v>108</x:v>
      </x:c>
      <x:c r="F5" s="2" t="s">
        <x:v>109</x:v>
      </x:c>
      <x:c r="G5" s="2" t="s">
        <x:v>110</x:v>
      </x:c>
      <x:c r="H5" s="2" t="s">
        <x:v>111</x:v>
      </x:c>
      <x:c r="I5" s="2" t="s">
        <x:v>91</x:v>
      </x:c>
      <x:c r="J5" s="2" t="s">
        <x:v>112</x:v>
      </x:c>
      <x:c r="K5" s="2" t="s">
        <x:v>113</x:v>
      </x:c>
      <x:c r="L5" s="2"/>
      <x:c r="M5" s="127" t="str">
        <x:v>/image/greensteps/avatar-linh-ngo.jpg</x:v>
      </x:c>
    </x:row>
    <x:row r="6" ht="15" customHeight="1">
      <x:c r="A6" s="2" t="s">
        <x:v>114</x:v>
      </x:c>
      <x:c r="B6" s="2" t="s">
        <x:v>91</x:v>
      </x:c>
      <x:c r="C6" s="2" t="s">
        <x:v>115</x:v>
      </x:c>
      <x:c r="D6" s="2" t="s">
        <x:v>116</x:v>
      </x:c>
      <x:c r="E6" s="2" t="s">
        <x:v>117</x:v>
      </x:c>
      <x:c r="F6" s="2" t="s">
        <x:v>118</x:v>
      </x:c>
      <x:c r="G6" s="2" t="s">
        <x:v>119</x:v>
      </x:c>
      <x:c r="H6" s="2" t="s">
        <x:v>120</x:v>
      </x:c>
      <x:c r="I6" s="2" t="s">
        <x:v>74</x:v>
      </x:c>
      <x:c r="J6" s="2" t="s">
        <x:v>121</x:v>
      </x:c>
      <x:c r="K6" s="2" t="s">
        <x:v>122</x:v>
      </x:c>
      <x:c r="L6" s="2"/>
      <x:c r="M6" s="127" t="str">
        <x:v>/image/greensteps/avatar-pham-hoang-minh.jpg</x:v>
      </x:c>
    </x:row>
    <x:row r="7" ht="15" customHeight="1">
      <x:c r="A7" s="2" t="s">
        <x:v>123</x:v>
      </x:c>
      <x:c r="B7" s="2" t="s">
        <x:v>91</x:v>
      </x:c>
      <x:c r="C7" s="2" t="s">
        <x:v>124</x:v>
      </x:c>
      <x:c r="D7" s="2" t="s">
        <x:v>125</x:v>
      </x:c>
      <x:c r="E7" s="2" t="s">
        <x:v>126</x:v>
      </x:c>
      <x:c r="F7" s="2" t="s">
        <x:v>127</x:v>
      </x:c>
      <x:c r="G7" s="2" t="s">
        <x:v>128</x:v>
      </x:c>
      <x:c r="H7" s="2" t="s">
        <x:v>129</x:v>
      </x:c>
      <x:c r="I7" s="2" t="s">
        <x:v>130</x:v>
      </x:c>
      <x:c r="J7" s="2" t="s">
        <x:v>131</x:v>
      </x:c>
      <x:c r="K7" s="2" t="s">
        <x:v>132</x:v>
      </x:c>
      <x:c r="L7" s="2"/>
      <x:c r="M7" s="127" t="str">
        <x:v>/image/greensteps/avatar-vu-an-nhien.jpg</x:v>
      </x:c>
    </x:row>
  </x:sheetData>
  <x:pageMargins left="0.7" right="0.7" top="0.75" bottom="0.75" header="0.3" footer="0.3"/>
  <x:tableParts count="1">
    <x:tablePart xmlns:r="http://schemas.openxmlformats.org/officeDocument/2006/relationships" r:id="Ra2d5026191d942f2"/>
  </x:tableParts>
</x:worksheet>
</file>

<file path=xl/worksheets/sheet5.xml><?xml version="1.0" encoding="utf-8"?>
<x:worksheet xmlns:x="http://schemas.openxmlformats.org/spreadsheetml/2006/main">
  <x:sheetFormatPr defaultRowHeight="14.25"/>
  <x:cols>
    <x:col min="1" max="1" width="12" customWidth="1"/>
    <x:col min="2" max="2" width="16.25" customWidth="1"/>
    <x:col min="3" max="3" width="16.5" customWidth="1"/>
  </x:cols>
  <x:sheetData>
    <x:row r="1" ht="15" customHeight="1">
      <x:c r="A1" s="4" t="s">
        <x:v>133</x:v>
      </x:c>
      <x:c r="B1" s="4" t="s">
        <x:v>61</x:v>
      </x:c>
      <x:c r="C1" s="4" t="s">
        <x:v>134</x:v>
      </x:c>
    </x:row>
    <x:row r="2" ht="15" customHeight="1">
      <x:c r="A2" s="2" t="s">
        <x:v>135</x:v>
      </x:c>
      <x:c r="B2" s="2" t="s">
        <x:v>73</x:v>
      </x:c>
      <x:c r="C2" s="5" t="s">
        <x:v>136</x:v>
      </x:c>
    </x:row>
    <x:row r="3" ht="15" customHeight="1">
      <x:c r="A3" s="2" t="s">
        <x:v>137</x:v>
      </x:c>
      <x:c r="B3" s="2" t="s">
        <x:v>84</x:v>
      </x:c>
      <x:c r="C3" s="5" t="s">
        <x:v>138</x:v>
      </x:c>
    </x:row>
    <x:row r="4" ht="15" customHeight="1">
      <x:c r="A4" s="2" t="s">
        <x:v>139</x:v>
      </x:c>
      <x:c r="B4" s="2" t="s">
        <x:v>95</x:v>
      </x:c>
      <x:c r="C4" s="5" t="s">
        <x:v>140</x:v>
      </x:c>
    </x:row>
  </x:sheetData>
  <x:pageMargins left="0.7" right="0.7" top="0.75" bottom="0.75" header="0.3" footer="0.3"/>
  <x:tableParts count="1">
    <x:tablePart xmlns:r="http://schemas.openxmlformats.org/officeDocument/2006/relationships" r:id="R30f3ca916c2b4335"/>
  </x:tableParts>
</x:worksheet>
</file>

<file path=xl/worksheets/sheet6.xml><?xml version="1.0" encoding="utf-8"?>
<x:worksheet xmlns:x="http://schemas.openxmlformats.org/spreadsheetml/2006/main">
  <x:sheetFormatPr defaultRowHeight="14.25"/>
  <x:cols>
    <x:col min="1" max="1" width="18" customWidth="1"/>
    <x:col min="2" max="2" width="15" customWidth="1"/>
    <x:col min="3" max="3" width="32" customWidth="1"/>
    <x:col min="4" max="4" width="24" customWidth="1"/>
    <x:col min="5" max="5" width="26" customWidth="1"/>
    <x:col min="6" max="6" width="48" hidden="0" customWidth="1"/>
    <x:col min="7" max="7" width="45" hidden="0" customWidth="1"/>
    <x:col min="8" max="8" width="24" customWidth="1"/>
    <x:col min="9" max="9" width="45" hidden="0" customWidth="1"/>
  </x:cols>
  <x:sheetData>
    <x:row r="1" ht="15" customHeight="1">
      <x:c r="A1" s="4" t="s">
        <x:v>141</x:v>
      </x:c>
      <x:c r="B1" s="4" t="s">
        <x:v>53</x:v>
      </x:c>
      <x:c r="C1" s="4" t="s">
        <x:v>142</x:v>
      </x:c>
      <x:c r="D1" s="4" t="s">
        <x:v>143</x:v>
      </x:c>
      <x:c r="E1" s="4" t="s">
        <x:v>18</x:v>
      </x:c>
      <x:c r="F1" s="90" t="s">
        <x:v>144</x:v>
      </x:c>
      <x:c r="G1" s="90" t="s">
        <x:v>145</x:v>
      </x:c>
      <x:c r="H1" s="4" t="s">
        <x:v>146</x:v>
      </x:c>
      <x:c r="I1" s="207" t="str">
        <x:v>original_image_url</x:v>
      </x:c>
    </x:row>
    <x:row r="2" ht="15" customHeight="1">
      <x:c r="A2" s="2" t="s">
        <x:v>147</x:v>
      </x:c>
      <x:c r="B2" s="2" t="s">
        <x:v>57</x:v>
      </x:c>
      <x:c r="C2" s="2" t="s">
        <x:v>83</x:v>
      </x:c>
      <x:c r="D2" s="2" t="s">
        <x:v>148</x:v>
      </x:c>
      <x:c r="E2" s="2" t="s">
        <x:v>22</x:v>
      </x:c>
      <x:c r="F2" s="2" t="str">
        <x:v>/image/tours/phu-yen-bai-da-ven-bien-01.jpg</x:v>
      </x:c>
      <x:c r="G2" s="94"/>
      <x:c r="H2" s="94" t="s">
        <x:v>60</x:v>
      </x:c>
      <x:c r="I2" s="127" t="str">
        <x:v>https://i.pinimg.com/1200x/15/06/6d/15066d772a582f83814cf915f3a25932.jpg</x:v>
      </x:c>
    </x:row>
    <x:row r="3" ht="15" customHeight="1">
      <x:c r="A3" s="2" t="s">
        <x:v>149</x:v>
      </x:c>
      <x:c r="B3" s="2" t="s">
        <x:v>57</x:v>
      </x:c>
      <x:c r="C3" s="2" t="s">
        <x:v>94</x:v>
      </x:c>
      <x:c r="D3" s="2" t="s">
        <x:v>148</x:v>
      </x:c>
      <x:c r="E3" s="2" t="s">
        <x:v>23</x:v>
      </x:c>
      <x:c r="F3" s="2" t="str">
        <x:v>/image/tours/da-lat-toan-canh-thanh-pho-01.jpg</x:v>
      </x:c>
      <x:c r="G3" s="94"/>
      <x:c r="H3" s="94" t="s">
        <x:v>60</x:v>
      </x:c>
      <x:c r="I3" s="127" t="str">
        <x:v>https://i.pinimg.com/1200x/1d/b9/8a/1db98a9ffaa2c93fcd7c4afc23820f9b.jpg</x:v>
      </x:c>
    </x:row>
    <x:row r="4" ht="15" customHeight="1">
      <x:c r="A4" s="2" t="s">
        <x:v>150</x:v>
      </x:c>
      <x:c r="B4" s="2" t="s">
        <x:v>57</x:v>
      </x:c>
      <x:c r="C4" s="2" t="s">
        <x:v>104</x:v>
      </x:c>
      <x:c r="D4" s="2" t="s">
        <x:v>148</x:v>
      </x:c>
      <x:c r="E4" s="2" t="s">
        <x:v>24</x:v>
      </x:c>
      <x:c r="F4" s="2" t="str">
        <x:v>/image/tours/da-nang-poster-du-lich-01.jpg</x:v>
      </x:c>
      <x:c r="G4" s="94"/>
      <x:c r="H4" s="94" t="s">
        <x:v>60</x:v>
      </x:c>
      <x:c r="I4" s="127" t="str">
        <x:v>https://i.pinimg.com/1200x/9d/b6/fa/9db6fa1bc52e1705bc0d6aa96555eb8a.jpg</x:v>
      </x:c>
    </x:row>
  </x:sheetData>
  <x:dataValidations count="1">
    <x:dataValidation type="list" sqref="H2:H4">
      <x:formula1>"pending,active"</x:formula1>
    </x:dataValidation>
  </x:dataValidations>
  <x:pageMargins left="0.7" right="0.7" top="0.75" bottom="0.75" header="0.3" footer="0.3"/>
  <x:tableParts count="1">
    <x:tablePart xmlns:r="http://schemas.openxmlformats.org/officeDocument/2006/relationships" r:id="Rce2ee07fea404c8a"/>
  </x:tableParts>
</x:worksheet>
</file>

<file path=xl/worksheets/sheet7.xml><?xml version="1.0" encoding="utf-8"?>
<x:worksheet xmlns:x="http://schemas.openxmlformats.org/spreadsheetml/2006/main">
  <x:sheetFormatPr defaultRowHeight="14.25"/>
  <x:cols>
    <x:col min="1" max="1" width="16" customWidth="1"/>
    <x:col min="2" max="2" width="34" customWidth="1"/>
    <x:col min="3" max="3" width="18" customWidth="1"/>
    <x:col min="4" max="4" width="10" customWidth="1"/>
    <x:col min="5" max="7" width="12" customWidth="1"/>
    <x:col min="8" max="8" width="18" hidden="0" customWidth="1"/>
    <x:col min="9" max="9" width="48" customWidth="1"/>
    <x:col min="10" max="12" width="12" customWidth="1"/>
    <x:col min="13" max="13" width="24" customWidth="1"/>
    <x:col min="14" max="14" width="32" customWidth="1"/>
    <x:col min="15" max="15" width="52" customWidth="1"/>
    <x:col min="16" max="16" width="38" customWidth="1"/>
    <x:col min="7" max="7" width="48" hidden="0" customWidth="1"/>
    <x:col min="17" max="17" width="34" hidden="0" customWidth="1"/>
    <x:col min="18" max="18" width="12" hidden="0" customWidth="1"/>
    <x:col min="19" max="19" width="9" hidden="0" customWidth="1"/>
    <x:col min="20" max="20" width="40" hidden="0" customWidth="1"/>
    <x:col min="21" max="21" width="14" hidden="0" customWidth="1"/>
    <x:col min="22" max="22" width="14" hidden="0" customWidth="1"/>
    <x:col min="23" max="23" width="14" hidden="0" customWidth="1"/>
    <x:col min="24" max="24" width="11" hidden="0" customWidth="1"/>
    <x:col min="25" max="25" width="11" hidden="0" customWidth="1"/>
    <x:col min="26" max="26" width="12" hidden="0" customWidth="1"/>
    <x:col min="27" max="27" width="45" hidden="0" customWidth="1"/>
  </x:cols>
  <x:sheetData>
    <x:row r="1" ht="36" customHeight="1">
      <x:c r="A1" s="4" t="s">
        <x:v>151</x:v>
      </x:c>
      <x:c r="B1" s="4" t="s">
        <x:v>152</x:v>
      </x:c>
      <x:c r="C1" s="4" t="s">
        <x:v>18</x:v>
      </x:c>
      <x:c r="D1" s="4" t="s">
        <x:v>153</x:v>
      </x:c>
      <x:c r="E1" s="4" t="s">
        <x:v>154</x:v>
      </x:c>
      <x:c r="F1" s="4" t="s">
        <x:v>155</x:v>
      </x:c>
      <x:c r="G1" s="90" t="s">
        <x:v>144</x:v>
      </x:c>
      <x:c r="H1" s="90" t="s">
        <x:v>145</x:v>
      </x:c>
      <x:c r="I1" s="4" t="s">
        <x:v>156</x:v>
      </x:c>
      <x:c r="J1" s="4" t="s">
        <x:v>157</x:v>
      </x:c>
      <x:c r="K1" s="4" t="s">
        <x:v>158</x:v>
      </x:c>
      <x:c r="L1" s="4" t="s">
        <x:v>159</x:v>
      </x:c>
      <x:c r="M1" s="4" t="s">
        <x:v>160</x:v>
      </x:c>
      <x:c r="N1" s="4" t="s">
        <x:v>161</x:v>
      </x:c>
      <x:c r="O1" s="4" t="s">
        <x:v>162</x:v>
      </x:c>
      <x:c r="P1" s="4" t="s">
        <x:v>163</x:v>
      </x:c>
      <x:c r="Q1" s="126" t="str">
        <x:v>slug</x:v>
      </x:c>
      <x:c r="R1" s="126" t="str">
        <x:v>country</x:v>
      </x:c>
      <x:c r="S1" s="126" t="str">
        <x:v>nights</x:v>
      </x:c>
      <x:c r="T1" s="126" t="str">
        <x:v>short_description</x:v>
      </x:c>
      <x:c r="U1" s="126" t="str">
        <x:v>tour_type</x:v>
      </x:c>
      <x:c r="V1" s="126" t="str">
        <x:v>difficulty</x:v>
      </x:c>
      <x:c r="W1" s="126" t="str">
        <x:v>group_type</x:v>
      </x:c>
      <x:c r="X1" s="126" t="str">
        <x:v>min_guests</x:v>
      </x:c>
      <x:c r="Y1" s="126" t="str">
        <x:v>max_guests</x:v>
      </x:c>
      <x:c r="Z1" s="126" t="str">
        <x:v>status</x:v>
      </x:c>
      <x:c r="AA1" s="207" t="str">
        <x:v>original_image_url</x:v>
      </x:c>
    </x:row>
    <x:row r="2" ht="15" customHeight="1">
      <x:c r="A2" s="16" t="s">
        <x:v>164</x:v>
      </x:c>
      <x:c r="B2" s="16" t="s">
        <x:v>165</x:v>
      </x:c>
      <x:c r="C2" s="16" t="s">
        <x:v>22</x:v>
      </x:c>
      <x:c r="D2" s="24">
        <x:v>2</x:v>
      </x:c>
      <x:c r="E2" s="17">
        <x:v>12</x:v>
      </x:c>
      <x:c r="F2" s="17" t="n">
        <x:f>ROUND(SUMIF(ScheduleActivity!$C$2:$C$68,A2,ScheduleActivity!$H$2:$H$68),2)</x:f>
        <x:v>-7.1</x:v>
      </x:c>
      <x:c r="G2" s="106" t="str">
        <x:v>/image/tours/phu-yen-bai-da-ven-bien-01.jpg</x:v>
      </x:c>
      <x:c r="H2" s="106"/>
      <x:c r="I2" s="106" t="s">
        <x:v>166</x:v>
      </x:c>
      <x:c r="J2" s="114">
        <x:v>126</x:v>
      </x:c>
      <x:c r="K2" s="114" t="s">
        <x:v>167</x:v>
      </x:c>
      <x:c r="L2" s="107" t="s">
        <x:v>168</x:v>
      </x:c>
      <x:c r="M2" s="106" t="s">
        <x:v>169</x:v>
      </x:c>
      <x:c r="N2" s="106" t="s">
        <x:v>170</x:v>
      </x:c>
      <x:c r="O2" s="106" t="s">
        <x:v>171</x:v>
      </x:c>
      <x:c r="P2" s="106" t="s">
        <x:v>172</x:v>
      </x:c>
      <x:c r="Q2" s="127" t="str">
        <x:v>phu-yen-xanh-ganh-da-dia-dam-o-loan</x:v>
      </x:c>
      <x:c r="R2" s="127" t="str">
        <x:v>Việt Nam</x:v>
      </x:c>
      <x:c r="S2" s="127" t="n">
        <x:f>MAX(D2-1,0)</x:f>
        <x:v>1</x:v>
      </x:c>
      <x:c r="T2" s="127" t="str">
        <x:v>Tour 2 ngày kết hợp kỳ quan đá bazan Gành Đá Đĩa, hải sản đầm Ô Loan và di chuyển theo nhóm nhỏ để giảm phát thải.</x:v>
      </x:c>
      <x:c r="U2" s="127" t="str">
        <x:v>Eco Tour</x:v>
      </x:c>
      <x:c r="V2" s="127" t="str">
        <x:v>Nhẹ</x:v>
      </x:c>
      <x:c r="W2" s="127" t="str">
        <x:v>Nhóm nhỏ</x:v>
      </x:c>
      <x:c r="X2" s="127" t="n">
        <x:v>1</x:v>
      </x:c>
      <x:c r="Y2" s="127" t="n">
        <x:v>12</x:v>
      </x:c>
      <x:c r="Z2" s="127" t="str">
        <x:v>active</x:v>
      </x:c>
      <x:c r="AA2" s="93" t="str">
        <x:v>https://i.pinimg.com/736x/60/9c/ef/609cefb4e490debd1ea140b6e21be7bc.jpg</x:v>
      </x:c>
    </x:row>
    <x:row r="3" ht="15" customHeight="1">
      <x:c r="A3" s="18" t="s">
        <x:v>173</x:v>
      </x:c>
      <x:c r="B3" s="18" t="s">
        <x:v>174</x:v>
      </x:c>
      <x:c r="C3" s="18" t="s">
        <x:v>22</x:v>
      </x:c>
      <x:c r="D3" s="25">
        <x:v>2</x:v>
      </x:c>
      <x:c r="E3" s="19">
        <x:v>8</x:v>
      </x:c>
      <x:c r="F3" s="19" t="n">
        <x:f>ROUND(SUMIF(ScheduleActivity!$C$2:$C$68,A3,ScheduleActivity!$H$2:$H$68),2)</x:f>
        <x:v>-9.3</x:v>
      </x:c>
      <x:c r="G3" s="108" t="str">
        <x:v>/image/tours/phu-yen-mui-dien-bai-mon-01.jpg</x:v>
      </x:c>
      <x:c r="H3" s="108"/>
      <x:c r="I3" s="108" t="s">
        <x:v>175</x:v>
      </x:c>
      <x:c r="J3" s="115">
        <x:v>98</x:v>
      </x:c>
      <x:c r="K3" s="115" t="s">
        <x:v>167</x:v>
      </x:c>
      <x:c r="L3" s="109" t="s">
        <x:v>168</x:v>
      </x:c>
      <x:c r="M3" s="108" t="s">
        <x:v>169</x:v>
      </x:c>
      <x:c r="N3" s="108" t="s">
        <x:v>170</x:v>
      </x:c>
      <x:c r="O3" s="108" t="s">
        <x:v>171</x:v>
      </x:c>
      <x:c r="P3" s="108" t="s">
        <x:v>172</x:v>
      </x:c>
      <x:c r="Q3" s="127" t="str">
        <x:v>binh-minh-mui-dien-bai-mon-vung-ro</x:v>
      </x:c>
      <x:c r="R3" s="127" t="str">
        <x:v>Việt Nam</x:v>
      </x:c>
      <x:c r="S3" s="127" t="n">
        <x:f>MAX(D3-1,0)</x:f>
        <x:v>1</x:v>
      </x:c>
      <x:c r="T3" s="127" t="str">
        <x:v>Hành trình dậy sớm ngắm bình minh tại hải đăng Mũi Điện, tắm Bãi Môn và nghe chuyện lịch sử vịnh Vũng Rô.</x:v>
      </x:c>
      <x:c r="U3" s="127" t="str">
        <x:v>Eco Tour</x:v>
      </x:c>
      <x:c r="V3" s="127" t="str">
        <x:v>Nhẹ</x:v>
      </x:c>
      <x:c r="W3" s="127" t="str">
        <x:v>Nhóm nhỏ</x:v>
      </x:c>
      <x:c r="X3" s="127" t="n">
        <x:v>1</x:v>
      </x:c>
      <x:c r="Y3" s="127" t="n">
        <x:v>12</x:v>
      </x:c>
      <x:c r="Z3" s="127" t="str">
        <x:v>active</x:v>
      </x:c>
      <x:c r="AA3" s="93" t="str">
        <x:v>https://i.pinimg.com/736x/1e/18/72/1e1872a16860e1d8c33c060f422dbd0c.jpg</x:v>
      </x:c>
    </x:row>
    <x:row r="4" ht="15" customHeight="1">
      <x:c r="A4" s="16" t="s">
        <x:v>176</x:v>
      </x:c>
      <x:c r="B4" s="16" t="s">
        <x:v>177</x:v>
      </x:c>
      <x:c r="C4" s="16" t="s">
        <x:v>22</x:v>
      </x:c>
      <x:c r="D4" s="24">
        <x:v>1</x:v>
      </x:c>
      <x:c r="E4" s="17">
        <x:v>5</x:v>
      </x:c>
      <x:c r="F4" s="17" t="n">
        <x:f>ROUND(SUMIF(ScheduleActivity!$C$2:$C$68,A4,ScheduleActivity!$H$2:$H$68),2)</x:f>
        <x:v>-5.2</x:v>
      </x:c>
      <x:c r="G4" s="106" t="str">
        <x:v>/image/tours/phu-yen-bai-xep-checkin-01.jpg</x:v>
      </x:c>
      <x:c r="H4" s="106"/>
      <x:c r="I4" s="106" t="s">
        <x:v>178</x:v>
      </x:c>
      <x:c r="J4" s="114">
        <x:v>84</x:v>
      </x:c>
      <x:c r="K4" s="114" t="s">
        <x:v>167</x:v>
      </x:c>
      <x:c r="L4" s="107" t="s">
        <x:v>168</x:v>
      </x:c>
      <x:c r="M4" s="106" t="s">
        <x:v>169</x:v>
      </x:c>
      <x:c r="N4" s="106" t="s">
        <x:v>170</x:v>
      </x:c>
      <x:c r="O4" s="106" t="s">
        <x:v>171</x:v>
      </x:c>
      <x:c r="P4" s="106" t="s">
        <x:v>172</x:v>
      </x:c>
      <x:c r="Q4" s="127" t="str">
        <x:v>bai-xep-ghenh-ong-thap-nhan-1-ngay</x:v>
      </x:c>
      <x:c r="R4" s="127" t="str">
        <x:v>Việt Nam</x:v>
      </x:c>
      <x:c r="S4" s="127" t="n">
        <x:f>MAX(D4-1,0)</x:f>
        <x:v>0</x:v>
      </x:c>
      <x:c r="T4" s="127" t="str">
        <x:v>Tour ngắn dành cho khách thích biển, phim trường hoa vàng cỏ xanh, kết hợp check-in Tháp Nhạn và ẩm thực địa phương.</x:v>
      </x:c>
      <x:c r="U4" s="127" t="str">
        <x:v>Eco Tour</x:v>
      </x:c>
      <x:c r="V4" s="127" t="str">
        <x:v>Nhẹ</x:v>
      </x:c>
      <x:c r="W4" s="127" t="str">
        <x:v>Nhóm nhỏ</x:v>
      </x:c>
      <x:c r="X4" s="127" t="n">
        <x:v>1</x:v>
      </x:c>
      <x:c r="Y4" s="127" t="n">
        <x:v>12</x:v>
      </x:c>
      <x:c r="Z4" s="127" t="str">
        <x:v>active</x:v>
      </x:c>
      <x:c r="AA4" s="93" t="str">
        <x:v>https://i.pinimg.com/1200x/53/36/64/533664d17c0a350a076c252ee010e5a6.jpg</x:v>
      </x:c>
    </x:row>
    <x:row r="5" ht="15" customHeight="1">
      <x:c r="A5" s="18" t="s">
        <x:v>179</x:v>
      </x:c>
      <x:c r="B5" s="18" t="s">
        <x:v>180</x:v>
      </x:c>
      <x:c r="C5" s="18" t="s">
        <x:v>22</x:v>
      </x:c>
      <x:c r="D5" s="25">
        <x:v>3</x:v>
      </x:c>
      <x:c r="E5" s="19">
        <x:v>10</x:v>
      </x:c>
      <x:c r="F5" s="19" t="n">
        <x:f>ROUND(SUMIF(ScheduleActivity!$C$2:$C$68,A5,ScheduleActivity!$H$2:$H$68),2)</x:f>
        <x:v>-10.2</x:v>
      </x:c>
      <x:c r="G5" s="108" t="str">
        <x:v>/image/tours/phu-yen-bien-trong-01.jpg</x:v>
      </x:c>
      <x:c r="H5" s="108"/>
      <x:c r="I5" s="108" t="s">
        <x:v>181</x:v>
      </x:c>
      <x:c r="J5" s="115">
        <x:v>112</x:v>
      </x:c>
      <x:c r="K5" s="115" t="s">
        <x:v>167</x:v>
      </x:c>
      <x:c r="L5" s="109" t="s">
        <x:v>168</x:v>
      </x:c>
      <x:c r="M5" s="108" t="s">
        <x:v>169</x:v>
      </x:c>
      <x:c r="N5" s="108" t="s">
        <x:v>170</x:v>
      </x:c>
      <x:c r="O5" s="108" t="s">
        <x:v>171</x:v>
      </x:c>
      <x:c r="P5" s="108" t="s">
        <x:v>172</x:v>
      </x:c>
      <x:c r="Q5" s="127" t="str">
        <x:v>hon-yen-nhat-tu-son-lang-chai-xanh</x:v>
      </x:c>
      <x:c r="R5" s="127" t="str">
        <x:v>Việt Nam</x:v>
      </x:c>
      <x:c r="S5" s="127" t="n">
        <x:f>MAX(D5-1,0)</x:f>
        <x:v>2</x:v>
      </x:c>
      <x:c r="T5" s="127" t="str">
        <x:v>Lịch trình chậm 3 ngày khám phá đảo ven bờ, ngắm san hô khi thủy triều xuống, ăn hải sản địa phương và nhắc bảo vệ rạn san hô.</x:v>
      </x:c>
      <x:c r="U5" s="127" t="str">
        <x:v>Eco Tour</x:v>
      </x:c>
      <x:c r="V5" s="127" t="str">
        <x:v>Trung bình</x:v>
      </x:c>
      <x:c r="W5" s="127" t="str">
        <x:v>Nhóm nhỏ</x:v>
      </x:c>
      <x:c r="X5" s="127" t="n">
        <x:v>1</x:v>
      </x:c>
      <x:c r="Y5" s="127" t="n">
        <x:v>10</x:v>
      </x:c>
      <x:c r="Z5" s="127" t="str">
        <x:v>active</x:v>
      </x:c>
      <x:c r="AA5" s="93" t="str">
        <x:v>https://i.pinimg.com/1200x/e6/58/65/e658653f875121e5aadc54c25a1b397b.jpg</x:v>
      </x:c>
    </x:row>
    <x:row r="6" ht="15" customHeight="1">
      <x:c r="A6" s="16" t="s">
        <x:v>182</x:v>
      </x:c>
      <x:c r="B6" s="16" t="s">
        <x:v>183</x:v>
      </x:c>
      <x:c r="C6" s="16" t="s">
        <x:v>23</x:v>
      </x:c>
      <x:c r="D6" s="24">
        <x:v>1</x:v>
      </x:c>
      <x:c r="E6" s="17">
        <x:v>7</x:v>
      </x:c>
      <x:c r="F6" s="17" t="n">
        <x:f>ROUND(SUMIF(ScheduleActivity!$C$2:$C$68,A6,ScheduleActivity!$H$2:$H$68),2)</x:f>
        <x:v>-3.7</x:v>
      </x:c>
      <x:c r="G6" s="106" t="str">
        <x:v>/image/tours/da-lat-ho-xuan-huong-01.jpg</x:v>
      </x:c>
      <x:c r="H6" s="106"/>
      <x:c r="I6" s="106" t="s">
        <x:v>184</x:v>
      </x:c>
      <x:c r="J6" s="114">
        <x:v>156</x:v>
      </x:c>
      <x:c r="K6" s="114" t="s">
        <x:v>167</x:v>
      </x:c>
      <x:c r="L6" s="107" t="s">
        <x:v>168</x:v>
      </x:c>
      <x:c r="M6" s="106" t="s">
        <x:v>169</x:v>
      </x:c>
      <x:c r="N6" s="106" t="s">
        <x:v>170</x:v>
      </x:c>
      <x:c r="O6" s="106" t="s">
        <x:v>171</x:v>
      </x:c>
      <x:c r="P6" s="106" t="s">
        <x:v>172</x:v>
      </x:c>
      <x:c r="Q6" s="127" t="str">
        <x:v>da-lat-chill-ho-xuan-huong-quang-truong-lam-vien</x:v>
      </x:c>
      <x:c r="R6" s="127" t="str">
        <x:v>Việt Nam</x:v>
      </x:c>
      <x:c r="S6" s="127" t="n">
        <x:f>MAX(D6-1,0)</x:f>
        <x:v>0</x:v>
      </x:c>
      <x:c r="T6" s="127" t="str">
        <x:v>Một ngày thư giãn quanh Hồ Xuân Hương, Quảng trường Lâm Viên, chợ đêm và trải nghiệm xe đạp/đi bộ nội đô.</x:v>
      </x:c>
      <x:c r="U6" s="127" t="str">
        <x:v>Eco Tour</x:v>
      </x:c>
      <x:c r="V6" s="127" t="str">
        <x:v>Nhẹ</x:v>
      </x:c>
      <x:c r="W6" s="127" t="str">
        <x:v>Nhóm nhỏ</x:v>
      </x:c>
      <x:c r="X6" s="127" t="n">
        <x:v>1</x:v>
      </x:c>
      <x:c r="Y6" s="127" t="n">
        <x:v>12</x:v>
      </x:c>
      <x:c r="Z6" s="127" t="str">
        <x:v>active</x:v>
      </x:c>
      <x:c r="AA6" s="93" t="str">
        <x:v>https://i.pinimg.com/736x/10/f4/97/10f4970291970e2f773327a6ad723bc0.jpg</x:v>
      </x:c>
    </x:row>
    <x:row r="7" ht="15" customHeight="1">
      <x:c r="A7" s="18" t="s">
        <x:v>185</x:v>
      </x:c>
      <x:c r="B7" s="18" t="s">
        <x:v>186</x:v>
      </x:c>
      <x:c r="C7" s="18" t="s">
        <x:v>23</x:v>
      </x:c>
      <x:c r="D7" s="25">
        <x:v>2</x:v>
      </x:c>
      <x:c r="E7" s="19">
        <x:v>9</x:v>
      </x:c>
      <x:c r="F7" s="19" t="n">
        <x:f>ROUND(SUMIF(ScheduleActivity!$C$2:$C$68,A7,ScheduleActivity!$H$2:$H$68),2)</x:f>
        <x:v>-10.8</x:v>
      </x:c>
      <x:c r="G7" s="108" t="str">
        <x:v>/image/tours/da-lat-toan-canh-thanh-pho-01.jpg</x:v>
      </x:c>
      <x:c r="H7" s="108"/>
      <x:c r="I7" s="108" t="s">
        <x:v>187</x:v>
      </x:c>
      <x:c r="J7" s="115">
        <x:v>134</x:v>
      </x:c>
      <x:c r="K7" s="115" t="s">
        <x:v>167</x:v>
      </x:c>
      <x:c r="L7" s="109" t="s">
        <x:v>168</x:v>
      </x:c>
      <x:c r="M7" s="108" t="s">
        <x:v>169</x:v>
      </x:c>
      <x:c r="N7" s="108" t="s">
        <x:v>170</x:v>
      </x:c>
      <x:c r="O7" s="108" t="s">
        <x:v>171</x:v>
      </x:c>
      <x:c r="P7" s="108" t="s">
        <x:v>172</x:v>
      </x:c>
      <x:c r="Q7" s="127" t="str">
        <x:v>langbiang-lang-cu-lan-nong-trai-ca-phe</x:v>
      </x:c>
      <x:c r="R7" s="127" t="str">
        <x:v>Việt Nam</x:v>
      </x:c>
      <x:c r="S7" s="127" t="n">
        <x:f>MAX(D7-1,0)</x:f>
        <x:v>1</x:v>
      </x:c>
      <x:c r="T7" s="127" t="str">
        <x:v>Tour cao nguyên dành cho khách thích trekking nhẹ, văn hóa bản địa và workshop cà phê tại nông trại xanh.</x:v>
      </x:c>
      <x:c r="U7" s="127" t="str">
        <x:v>Eco Tour</x:v>
      </x:c>
      <x:c r="V7" s="127" t="str">
        <x:v>Trung bình</x:v>
      </x:c>
      <x:c r="W7" s="127" t="str">
        <x:v>Nhóm nhỏ</x:v>
      </x:c>
      <x:c r="X7" s="127" t="n">
        <x:v>1</x:v>
      </x:c>
      <x:c r="Y7" s="127" t="n">
        <x:v>10</x:v>
      </x:c>
      <x:c r="Z7" s="127" t="str">
        <x:v>active</x:v>
      </x:c>
      <x:c r="AA7" s="93" t="str">
        <x:v>https://i.pinimg.com/1200x/69/d6/e5/69d6e56299838d8728a7670ed21edd91.jpg</x:v>
      </x:c>
    </x:row>
    <x:row r="8" ht="15" customHeight="1">
      <x:c r="A8" s="16" t="s">
        <x:v>188</x:v>
      </x:c>
      <x:c r="B8" s="16" t="s">
        <x:v>189</x:v>
      </x:c>
      <x:c r="C8" s="16" t="s">
        <x:v>23</x:v>
      </x:c>
      <x:c r="D8" s="24">
        <x:v>2</x:v>
      </x:c>
      <x:c r="E8" s="17">
        <x:v>11</x:v>
      </x:c>
      <x:c r="F8" s="17" t="n">
        <x:f>ROUND(SUMIF(ScheduleActivity!$C$2:$C$68,A8,ScheduleActivity!$H$2:$H$68),2)</x:f>
        <x:v>-9.6</x:v>
      </x:c>
      <x:c r="G8" s="106" t="str">
        <x:v>/image/tours/da-lat-ho-tuyen-lam-01.jpg</x:v>
      </x:c>
      <x:c r="H8" s="106"/>
      <x:c r="I8" s="106" t="s">
        <x:v>190</x:v>
      </x:c>
      <x:c r="J8" s="114">
        <x:v>149</x:v>
      </x:c>
      <x:c r="K8" s="114" t="s">
        <x:v>167</x:v>
      </x:c>
      <x:c r="L8" s="107" t="s">
        <x:v>168</x:v>
      </x:c>
      <x:c r="M8" s="106" t="s">
        <x:v>169</x:v>
      </x:c>
      <x:c r="N8" s="106" t="s">
        <x:v>170</x:v>
      </x:c>
      <x:c r="O8" s="106" t="s">
        <x:v>171</x:v>
      </x:c>
      <x:c r="P8" s="106" t="s">
        <x:v>172</x:v>
      </x:c>
      <x:c r="Q8" s="127" t="str">
        <x:v>ho-tuyen-lam-thien-vien-truc-lam-thac-datanla</x:v>
      </x:c>
      <x:c r="R8" s="127" t="str">
        <x:v>Việt Nam</x:v>
      </x:c>
      <x:c r="S8" s="127" t="n">
        <x:f>MAX(D8-1,0)</x:f>
        <x:v>1</x:v>
      </x:c>
      <x:c r="T8" s="127" t="str">
        <x:v>Hành trình hồ, rừng thông và thiền viện; ưu tiên di chuyển ngắn, hoạt động ngoài trời nhẹ và nghỉ dưỡng ven hồ.</x:v>
      </x:c>
      <x:c r="U8" s="127" t="str">
        <x:v>Eco Tour</x:v>
      </x:c>
      <x:c r="V8" s="127" t="str">
        <x:v>Nhẹ</x:v>
      </x:c>
      <x:c r="W8" s="127" t="str">
        <x:v>Nhóm nhỏ</x:v>
      </x:c>
      <x:c r="X8" s="127" t="n">
        <x:v>1</x:v>
      </x:c>
      <x:c r="Y8" s="127" t="n">
        <x:v>12</x:v>
      </x:c>
      <x:c r="Z8" s="127" t="str">
        <x:v>active</x:v>
      </x:c>
      <x:c r="AA8" s="93" t="str">
        <x:v>https://i.pinimg.com/1200x/b4/cd/b9/b4cdb9c05718a57d34787052447ca7bf.jpg</x:v>
      </x:c>
    </x:row>
    <x:row r="9" ht="15" customHeight="1">
      <x:c r="A9" s="18" t="s">
        <x:v>191</x:v>
      </x:c>
      <x:c r="B9" s="18" t="s">
        <x:v>192</x:v>
      </x:c>
      <x:c r="C9" s="18" t="s">
        <x:v>23</x:v>
      </x:c>
      <x:c r="D9" s="25">
        <x:v>2</x:v>
      </x:c>
      <x:c r="E9" s="19">
        <x:v>6</x:v>
      </x:c>
      <x:c r="F9" s="19" t="n">
        <x:f>ROUND(SUMIF(ScheduleActivity!$C$2:$C$68,A9,ScheduleActivity!$H$2:$H$68),2)</x:f>
        <x:v>-6.8</x:v>
      </x:c>
      <x:c r="G9" s="108" t="str">
        <x:v>/image/tours/da-lat-rung-thong-san-may-01.jpg</x:v>
      </x:c>
      <x:c r="H9" s="108"/>
      <x:c r="I9" s="108" t="s">
        <x:v>193</x:v>
      </x:c>
      <x:c r="J9" s="115">
        <x:v>101</x:v>
      </x:c>
      <x:c r="K9" s="115" t="s">
        <x:v>167</x:v>
      </x:c>
      <x:c r="L9" s="109" t="s">
        <x:v>168</x:v>
      </x:c>
      <x:c r="M9" s="108" t="s">
        <x:v>169</x:v>
      </x:c>
      <x:c r="N9" s="108" t="s">
        <x:v>170</x:v>
      </x:c>
      <x:c r="O9" s="108" t="s">
        <x:v>171</x:v>
      </x:c>
      <x:c r="P9" s="108" t="s">
        <x:v>172</x:v>
      </x:c>
      <x:c r="Q9" s="127" t="str">
        <x:v>san-may-cau-dat-chua-linh-phuoc-vuon-hoa</x:v>
      </x:c>
      <x:c r="R9" s="127" t="str">
        <x:v>Việt Nam</x:v>
      </x:c>
      <x:c r="S9" s="127" t="n">
        <x:f>MAX(D9-1,0)</x:f>
        <x:v>1</x:v>
      </x:c>
      <x:c r="T9" s="127" t="str">
        <x:v>Tour sáng sớm săn mây tại Cầu Đất, tham quan Chùa Linh Phước và trải nghiệm nông sản địa phương.</x:v>
      </x:c>
      <x:c r="U9" s="127" t="str">
        <x:v>Eco Tour</x:v>
      </x:c>
      <x:c r="V9" s="127" t="str">
        <x:v>Nhẹ</x:v>
      </x:c>
      <x:c r="W9" s="127" t="str">
        <x:v>Nhóm nhỏ</x:v>
      </x:c>
      <x:c r="X9" s="127" t="n">
        <x:v>1</x:v>
      </x:c>
      <x:c r="Y9" s="127" t="n">
        <x:v>12</x:v>
      </x:c>
      <x:c r="Z9" s="127" t="str">
        <x:v>active</x:v>
      </x:c>
      <x:c r="AA9" s="93" t="str">
        <x:v>https://i.pinimg.com/736x/ab/bc/3e/abbc3ebbbc054d6cb45b48527d25635d.jpg</x:v>
      </x:c>
    </x:row>
    <x:row r="10" ht="15" customHeight="1">
      <x:c r="A10" s="16" t="s">
        <x:v>194</x:v>
      </x:c>
      <x:c r="B10" s="16" t="s">
        <x:v>195</x:v>
      </x:c>
      <x:c r="C10" s="16" t="s">
        <x:v>24</x:v>
      </x:c>
      <x:c r="D10" s="24">
        <x:v>2</x:v>
      </x:c>
      <x:c r="E10" s="17">
        <x:v>10</x:v>
      </x:c>
      <x:c r="F10" s="17" t="n">
        <x:f>ROUND(SUMIF(ScheduleActivity!$C$2:$C$68,A10,ScheduleActivity!$H$2:$H$68),2)</x:f>
        <x:v>-8</x:v>
      </x:c>
      <x:c r="G10" s="106" t="str">
        <x:v>/image/tours/da-nang-bien-my-khe-toan-canh-01.jpg</x:v>
      </x:c>
      <x:c r="H10" s="106"/>
      <x:c r="I10" s="106" t="s">
        <x:v>196</x:v>
      </x:c>
      <x:c r="J10" s="114">
        <x:v>178</x:v>
      </x:c>
      <x:c r="K10" s="114" t="s">
        <x:v>167</x:v>
      </x:c>
      <x:c r="L10" s="107" t="s">
        <x:v>168</x:v>
      </x:c>
      <x:c r="M10" s="106" t="s">
        <x:v>169</x:v>
      </x:c>
      <x:c r="N10" s="106" t="s">
        <x:v>170</x:v>
      </x:c>
      <x:c r="O10" s="106" t="s">
        <x:v>171</x:v>
      </x:c>
      <x:c r="P10" s="106" t="s">
        <x:v>172</x:v>
      </x:c>
      <x:c r="Q10" s="127" t="str">
        <x:v>da-nang-bien-xanh-son-tra-linh-ung-cau-rong</x:v>
      </x:c>
      <x:c r="R10" s="127" t="str">
        <x:v>Việt Nam</x:v>
      </x:c>
      <x:c r="S10" s="127" t="n">
        <x:f>MAX(D10-1,0)</x:f>
        <x:v>1</x:v>
      </x:c>
      <x:c r="T10" s="127" t="str">
        <x:v>Tour thành phố biển kết hợp bán đảo Sơn Trà, chùa Linh Ứng, Cầu Rồng và hoạt động đi bộ ven sông Hàn.</x:v>
      </x:c>
      <x:c r="U10" s="127" t="str">
        <x:v>Eco Tour</x:v>
      </x:c>
      <x:c r="V10" s="127" t="str">
        <x:v>Nhẹ</x:v>
      </x:c>
      <x:c r="W10" s="127" t="str">
        <x:v>Nhóm nhỏ</x:v>
      </x:c>
      <x:c r="X10" s="127" t="n">
        <x:v>1</x:v>
      </x:c>
      <x:c r="Y10" s="127" t="n">
        <x:v>12</x:v>
      </x:c>
      <x:c r="Z10" s="127" t="str">
        <x:v>active</x:v>
      </x:c>
      <x:c r="AA10" s="93" t="str">
        <x:v>https://i.pinimg.com/736x/f3/34/b3/f334b3d836d0d5fd68f797f7ad3c7021.jpg</x:v>
      </x:c>
    </x:row>
    <x:row r="11" ht="15" customHeight="1">
      <x:c r="A11" s="18" t="s">
        <x:v>197</x:v>
      </x:c>
      <x:c r="B11" s="18" t="s">
        <x:v>198</x:v>
      </x:c>
      <x:c r="C11" s="18" t="s">
        <x:v>24</x:v>
      </x:c>
      <x:c r="D11" s="25">
        <x:v>1</x:v>
      </x:c>
      <x:c r="E11" s="19">
        <x:v>8</x:v>
      </x:c>
      <x:c r="F11" s="19" t="n">
        <x:f>ROUND(SUMIF(ScheduleActivity!$C$2:$C$68,A11,ScheduleActivity!$H$2:$H$68),2)</x:f>
        <x:v>-9.6</x:v>
      </x:c>
      <x:c r="G11" s="108" t="str">
        <x:v>/image/tours/da-nang-cau-vang-ba-na-hills-01.jpg</x:v>
      </x:c>
      <x:c r="H11" s="108"/>
      <x:c r="I11" s="108" t="s">
        <x:v>199</x:v>
      </x:c>
      <x:c r="J11" s="115">
        <x:v>203</x:v>
      </x:c>
      <x:c r="K11" s="115" t="s">
        <x:v>167</x:v>
      </x:c>
      <x:c r="L11" s="109" t="s">
        <x:v>168</x:v>
      </x:c>
      <x:c r="M11" s="108" t="s">
        <x:v>169</x:v>
      </x:c>
      <x:c r="N11" s="108" t="s">
        <x:v>170</x:v>
      </x:c>
      <x:c r="O11" s="108" t="s">
        <x:v>171</x:v>
      </x:c>
      <x:c r="P11" s="108" t="s">
        <x:v>172</x:v>
      </x:c>
      <x:c r="Q11" s="127" t="str">
        <x:v>ba-na-hills-cau-vang-trong-may</x:v>
      </x:c>
      <x:c r="R11" s="127" t="str">
        <x:v>Việt Nam</x:v>
      </x:c>
      <x:c r="S11" s="127" t="n">
        <x:f>MAX(D11-1,0)</x:f>
        <x:v>0</x:v>
      </x:c>
      <x:c r="T11" s="127" t="str">
        <x:v>Lịch trình 1 ngày tham quan Cầu Vàng và Bà Nà Hills, tối ưu ghép đoàn để giảm phát thải trên mỗi khách.</x:v>
      </x:c>
      <x:c r="U11" s="127" t="str">
        <x:v>Eco Tour</x:v>
      </x:c>
      <x:c r="V11" s="127" t="str">
        <x:v>Nhẹ</x:v>
      </x:c>
      <x:c r="W11" s="127" t="str">
        <x:v>Nhóm nhỏ</x:v>
      </x:c>
      <x:c r="X11" s="127" t="n">
        <x:v>1</x:v>
      </x:c>
      <x:c r="Y11" s="127" t="n">
        <x:v>12</x:v>
      </x:c>
      <x:c r="Z11" s="127" t="str">
        <x:v>active</x:v>
      </x:c>
      <x:c r="AA11" s="93" t="str">
        <x:v>https://i.pinimg.com/736x/3d/a1/1f/3da11f5f8766b7c71fdce561420950e1.jpg</x:v>
      </x:c>
    </x:row>
    <x:row r="12" ht="15" customHeight="1">
      <x:c r="A12" s="16" t="s">
        <x:v>200</x:v>
      </x:c>
      <x:c r="B12" s="16" t="s">
        <x:v>201</x:v>
      </x:c>
      <x:c r="C12" s="16" t="s">
        <x:v>24</x:v>
      </x:c>
      <x:c r="D12" s="24">
        <x:v>2</x:v>
      </x:c>
      <x:c r="E12" s="17">
        <x:v>12</x:v>
      </x:c>
      <x:c r="F12" s="17" t="n">
        <x:f>ROUND(SUMIF(ScheduleActivity!$C$2:$C$68,A12,ScheduleActivity!$H$2:$H$68),2)</x:f>
        <x:v>-11.6</x:v>
      </x:c>
      <x:c r="G12" s="106" t="str">
        <x:v>/image/tours/hoi-an-lang-rau-tra-que-01.jpg</x:v>
      </x:c>
      <x:c r="H12" s="106"/>
      <x:c r="I12" s="106" t="s">
        <x:v>202</x:v>
      </x:c>
      <x:c r="J12" s="114">
        <x:v>221</x:v>
      </x:c>
      <x:c r="K12" s="114" t="s">
        <x:v>167</x:v>
      </x:c>
      <x:c r="L12" s="107" t="s">
        <x:v>168</x:v>
      </x:c>
      <x:c r="M12" s="106" t="s">
        <x:v>169</x:v>
      </x:c>
      <x:c r="N12" s="106" t="s">
        <x:v>170</x:v>
      </x:c>
      <x:c r="O12" s="106" t="s">
        <x:v>171</x:v>
      </x:c>
      <x:c r="P12" s="106" t="s">
        <x:v>172</x:v>
      </x:c>
      <x:c r="Q12" s="127" t="str">
        <x:v>hoi-an-di-san-rung-dua-bay-mau-tra-que</x:v>
      </x:c>
      <x:c r="R12" s="127" t="str">
        <x:v>Việt Nam</x:v>
      </x:c>
      <x:c r="S12" s="127" t="n">
        <x:f>MAX(D12-1,0)</x:f>
        <x:v>1</x:v>
      </x:c>
      <x:c r="T12" s="127" t="str">
        <x:v>Tour chậm tại Hội An: phố cổ về đêm, thuyền thúng rừng dừa và lớp nấu ăn/làm vườn ở Trà Quế.</x:v>
      </x:c>
      <x:c r="U12" s="127" t="str">
        <x:v>Eco Tour</x:v>
      </x:c>
      <x:c r="V12" s="127" t="str">
        <x:v>Nhẹ</x:v>
      </x:c>
      <x:c r="W12" s="127" t="str">
        <x:v>Nhóm nhỏ</x:v>
      </x:c>
      <x:c r="X12" s="127" t="n">
        <x:v>1</x:v>
      </x:c>
      <x:c r="Y12" s="127" t="n">
        <x:v>12</x:v>
      </x:c>
      <x:c r="Z12" s="127" t="str">
        <x:v>active</x:v>
      </x:c>
      <x:c r="AA12" s="93" t="str">
        <x:v>https://i.pinimg.com/736x/a6/f9/2e/a6f92ed32526a0b16c257a645e4034fc.jpg</x:v>
      </x:c>
    </x:row>
    <x:row r="13" ht="15" customHeight="1">
      <x:c r="A13" s="18" t="s">
        <x:v>203</x:v>
      </x:c>
      <x:c r="B13" s="18" t="s">
        <x:v>204</x:v>
      </x:c>
      <x:c r="C13" s="18" t="s">
        <x:v>24</x:v>
      </x:c>
      <x:c r="D13" s="25">
        <x:v>3</x:v>
      </x:c>
      <x:c r="E13" s="19">
        <x:v>10</x:v>
      </x:c>
      <x:c r="F13" s="19" t="n">
        <x:f>ROUND(SUMIF(ScheduleActivity!$C$2:$C$68,A13,ScheduleActivity!$H$2:$H$68),2)</x:f>
        <x:v>-13.5</x:v>
      </x:c>
      <x:c r="G13" s="108" t="str">
        <x:v>/image/tours/hoi-an-chua-cau-01.jpg</x:v>
      </x:c>
      <x:c r="H13" s="108"/>
      <x:c r="I13" s="108" t="s">
        <x:v>205</x:v>
      </x:c>
      <x:c r="J13" s="115">
        <x:v>167</x:v>
      </x:c>
      <x:c r="K13" s="115" t="s">
        <x:v>167</x:v>
      </x:c>
      <x:c r="L13" s="109" t="s">
        <x:v>168</x:v>
      </x:c>
      <x:c r="M13" s="108" t="s">
        <x:v>169</x:v>
      </x:c>
      <x:c r="N13" s="108" t="s">
        <x:v>170</x:v>
      </x:c>
      <x:c r="O13" s="108" t="s">
        <x:v>171</x:v>
      </x:c>
      <x:c r="P13" s="108" t="s">
        <x:v>172</x:v>
      </x:c>
      <x:c r="Q13" s="127" t="str">
        <x:v>ngu-hanh-son-cu-lao-cham-pho-hoi</x:v>
      </x:c>
      <x:c r="R13" s="127" t="str">
        <x:v>Việt Nam</x:v>
      </x:c>
      <x:c r="S13" s="127" t="n">
        <x:f>MAX(D13-1,0)</x:f>
        <x:v>2</x:v>
      </x:c>
      <x:c r="T13" s="127" t="str">
        <x:v>Ba ngày cân bằng văn hóa - biển đảo: Ngũ Hành Sơn, Cù Lao Chàm, phố cổ Hội An và nhắc không chạm san hô.</x:v>
      </x:c>
      <x:c r="U13" s="127" t="str">
        <x:v>Eco Tour</x:v>
      </x:c>
      <x:c r="V13" s="127" t="str">
        <x:v>Trung bình</x:v>
      </x:c>
      <x:c r="W13" s="127" t="str">
        <x:v>Nhóm nhỏ</x:v>
      </x:c>
      <x:c r="X13" s="127" t="n">
        <x:v>1</x:v>
      </x:c>
      <x:c r="Y13" s="127" t="n">
        <x:v>10</x:v>
      </x:c>
      <x:c r="Z13" s="127" t="str">
        <x:v>active</x:v>
      </x:c>
      <x:c r="AA13" s="93" t="str">
        <x:v>https://i.pinimg.com/1200x/51/8a/24/518a24abfd5bf366aaea50f79fc67644.jpg</x:v>
      </x:c>
    </x:row>
    <x:row r="14">
      <x:c r="A14" s="1"/>
      <x:c r="B14" s="1"/>
      <x:c r="C14" s="1"/>
      <x:c r="D14" s="1"/>
      <x:c r="E14" s="1"/>
      <x:c r="F14" s="1"/>
      <x:c r="G14" s="1"/>
      <x:c r="H14" s="1"/>
      <x:c r="I14" s="1"/>
      <x:c r="J14" s="1"/>
      <x:c r="K14" s="1"/>
      <x:c r="L14" s="1"/>
      <x:c r="M14" s="1"/>
      <x:c r="N14" s="1"/>
      <x:c r="O14" s="1"/>
      <x:c r="P14" s="1"/>
    </x:row>
    <x:row r="15">
      <x:c r="A15" s="1"/>
      <x:c r="B15" s="1"/>
      <x:c r="C15" s="1"/>
      <x:c r="D15" s="1"/>
      <x:c r="E15" s="1"/>
      <x:c r="F15" s="1"/>
      <x:c r="G15" s="1"/>
      <x:c r="H15" s="1"/>
      <x:c r="I15" s="1"/>
      <x:c r="J15" s="1"/>
      <x:c r="K15" s="1"/>
      <x:c r="L15" s="1"/>
      <x:c r="M15" s="1"/>
      <x:c r="N15" s="1"/>
      <x:c r="O15" s="1"/>
      <x:c r="P15" s="1"/>
    </x:row>
    <x:row r="16">
      <x:c r="A16" s="1"/>
      <x:c r="B16" s="1"/>
      <x:c r="C16" s="1"/>
      <x:c r="D16" s="1"/>
      <x:c r="E16" s="1"/>
      <x:c r="F16" s="1"/>
      <x:c r="G16" s="1"/>
      <x:c r="H16" s="1"/>
      <x:c r="I16" s="1"/>
      <x:c r="J16" s="1"/>
      <x:c r="K16" s="1"/>
      <x:c r="L16" s="1"/>
      <x:c r="M16" s="1"/>
      <x:c r="N16" s="1"/>
      <x:c r="O16" s="1"/>
      <x:c r="P16" s="1"/>
    </x:row>
    <x:row r="17">
      <x:c r="A17" s="1"/>
      <x:c r="B17" s="1"/>
      <x:c r="C17" s="1"/>
      <x:c r="D17" s="1"/>
      <x:c r="E17" s="1"/>
      <x:c r="F17" s="1"/>
      <x:c r="G17" s="1"/>
      <x:c r="H17" s="1"/>
      <x:c r="I17" s="1"/>
      <x:c r="J17" s="1"/>
      <x:c r="K17" s="1"/>
      <x:c r="L17" s="1"/>
      <x:c r="M17" s="1"/>
      <x:c r="N17" s="1"/>
      <x:c r="O17" s="1"/>
      <x:c r="P17" s="1"/>
    </x:row>
    <x:row r="18">
      <x:c r="A18" s="1"/>
      <x:c r="B18" s="1"/>
      <x:c r="C18" s="1"/>
      <x:c r="D18" s="1"/>
      <x:c r="E18" s="1"/>
      <x:c r="F18" s="1"/>
      <x:c r="G18" s="1"/>
      <x:c r="H18" s="1"/>
      <x:c r="I18" s="1"/>
      <x:c r="J18" s="1"/>
      <x:c r="K18" s="1"/>
      <x:c r="L18" s="1"/>
      <x:c r="M18" s="1"/>
      <x:c r="N18" s="1"/>
      <x:c r="O18" s="1"/>
      <x:c r="P18" s="1"/>
    </x:row>
    <x:row r="19">
      <x:c r="A19" s="1"/>
      <x:c r="B19" s="1"/>
      <x:c r="C19" s="1"/>
      <x:c r="D19" s="1"/>
      <x:c r="E19" s="1"/>
      <x:c r="F19" s="1"/>
      <x:c r="G19" s="1"/>
      <x:c r="H19" s="1"/>
      <x:c r="I19" s="1"/>
      <x:c r="J19" s="1"/>
      <x:c r="K19" s="1"/>
      <x:c r="L19" s="1"/>
      <x:c r="M19" s="1"/>
      <x:c r="N19" s="1"/>
      <x:c r="O19" s="1"/>
      <x:c r="P19" s="1"/>
    </x:row>
    <x:row r="20">
      <x:c r="A20" s="1"/>
      <x:c r="B20" s="1"/>
      <x:c r="C20" s="1"/>
      <x:c r="D20" s="1"/>
      <x:c r="E20" s="1"/>
      <x:c r="F20" s="1"/>
      <x:c r="G20" s="1"/>
      <x:c r="H20" s="1"/>
      <x:c r="I20" s="1"/>
      <x:c r="J20" s="1"/>
      <x:c r="K20" s="1"/>
      <x:c r="L20" s="1"/>
      <x:c r="M20" s="1"/>
      <x:c r="N20" s="1"/>
      <x:c r="O20" s="1"/>
      <x:c r="P20" s="1"/>
    </x:row>
    <x:row r="21">
      <x:c r="A21" s="1"/>
      <x:c r="B21" s="1"/>
      <x:c r="C21" s="1"/>
      <x:c r="D21" s="1"/>
      <x:c r="E21" s="1"/>
      <x:c r="F21" s="1"/>
      <x:c r="G21" s="1"/>
      <x:c r="H21" s="1"/>
      <x:c r="I21" s="1"/>
      <x:c r="J21" s="1"/>
      <x:c r="K21" s="1"/>
      <x:c r="L21" s="1"/>
      <x:c r="M21" s="1"/>
      <x:c r="N21" s="1"/>
      <x:c r="O21" s="1"/>
      <x:c r="P21" s="1"/>
    </x:row>
    <x:row r="22">
      <x:c r="A22" s="1"/>
      <x:c r="B22" s="1"/>
      <x:c r="C22" s="1"/>
      <x:c r="D22" s="1"/>
      <x:c r="E22" s="1"/>
      <x:c r="F22" s="1"/>
      <x:c r="G22" s="1"/>
      <x:c r="H22" s="1"/>
      <x:c r="I22" s="1"/>
      <x:c r="J22" s="1"/>
      <x:c r="K22" s="1"/>
      <x:c r="L22" s="1"/>
      <x:c r="M22" s="1"/>
      <x:c r="N22" s="1"/>
      <x:c r="O22" s="1"/>
      <x:c r="P22" s="1"/>
    </x:row>
    <x:row r="23">
      <x:c r="A23" s="1"/>
      <x:c r="B23" s="1"/>
      <x:c r="C23" s="1"/>
      <x:c r="D23" s="1"/>
      <x:c r="E23" s="1"/>
      <x:c r="F23" s="1"/>
      <x:c r="G23" s="1"/>
      <x:c r="H23" s="1"/>
      <x:c r="I23" s="1"/>
      <x:c r="J23" s="1"/>
      <x:c r="K23" s="1"/>
      <x:c r="L23" s="1"/>
      <x:c r="M23" s="1"/>
      <x:c r="N23" s="1"/>
      <x:c r="O23" s="1"/>
      <x:c r="P23" s="1"/>
    </x:row>
    <x:row r="24">
      <x:c r="A24" s="1"/>
      <x:c r="B24" s="1"/>
      <x:c r="C24" s="1"/>
      <x:c r="D24" s="1"/>
      <x:c r="E24" s="1"/>
      <x:c r="F24" s="1"/>
      <x:c r="G24" s="1"/>
      <x:c r="H24" s="1"/>
      <x:c r="I24" s="1"/>
      <x:c r="J24" s="1"/>
      <x:c r="K24" s="1"/>
      <x:c r="L24" s="1"/>
      <x:c r="M24" s="1"/>
      <x:c r="N24" s="1"/>
      <x:c r="O24" s="1"/>
      <x:c r="P24" s="1"/>
    </x:row>
    <x:row r="25">
      <x:c r="A25" s="1"/>
      <x:c r="B25" s="1"/>
      <x:c r="C25" s="1"/>
      <x:c r="D25" s="1"/>
      <x:c r="E25" s="1"/>
      <x:c r="F25" s="1"/>
      <x:c r="G25" s="1"/>
      <x:c r="H25" s="1"/>
      <x:c r="I25" s="1"/>
      <x:c r="J25" s="1"/>
      <x:c r="K25" s="1"/>
      <x:c r="L25" s="1"/>
      <x:c r="M25" s="1"/>
      <x:c r="N25" s="1"/>
      <x:c r="O25" s="1"/>
      <x:c r="P25" s="1"/>
    </x:row>
    <x:row r="26">
      <x:c r="A26" s="1"/>
      <x:c r="B26" s="1"/>
      <x:c r="C26" s="1"/>
      <x:c r="D26" s="1"/>
      <x:c r="E26" s="1"/>
      <x:c r="F26" s="1"/>
      <x:c r="G26" s="1"/>
      <x:c r="H26" s="1"/>
      <x:c r="I26" s="1"/>
      <x:c r="J26" s="1"/>
      <x:c r="K26" s="1"/>
      <x:c r="L26" s="1"/>
      <x:c r="M26" s="1"/>
      <x:c r="N26" s="1"/>
      <x:c r="O26" s="1"/>
      <x:c r="P26" s="1"/>
    </x:row>
    <x:row r="27">
      <x:c r="A27" s="1"/>
      <x:c r="B27" s="1"/>
      <x:c r="C27" s="1"/>
      <x:c r="D27" s="1"/>
      <x:c r="E27" s="1"/>
      <x:c r="F27" s="1"/>
      <x:c r="G27" s="1"/>
      <x:c r="H27" s="1"/>
      <x:c r="I27" s="1"/>
      <x:c r="J27" s="1"/>
      <x:c r="K27" s="1"/>
      <x:c r="L27" s="1"/>
      <x:c r="M27" s="1"/>
      <x:c r="N27" s="1"/>
      <x:c r="O27" s="1"/>
      <x:c r="P27" s="1"/>
    </x:row>
    <x:row r="28">
      <x:c r="A28" s="1"/>
      <x:c r="B28" s="1"/>
      <x:c r="C28" s="1"/>
      <x:c r="D28" s="1"/>
      <x:c r="E28" s="1"/>
      <x:c r="F28" s="1"/>
      <x:c r="G28" s="1"/>
      <x:c r="H28" s="1"/>
      <x:c r="I28" s="1"/>
      <x:c r="J28" s="1"/>
      <x:c r="K28" s="1"/>
      <x:c r="L28" s="1"/>
      <x:c r="M28" s="1"/>
      <x:c r="N28" s="1"/>
      <x:c r="O28" s="1"/>
      <x:c r="P28" s="1"/>
    </x:row>
    <x:row r="29">
      <x:c r="A29" s="1"/>
      <x:c r="B29" s="1"/>
      <x:c r="C29" s="1"/>
      <x:c r="D29" s="1"/>
      <x:c r="E29" s="1"/>
      <x:c r="F29" s="1"/>
      <x:c r="G29" s="1"/>
      <x:c r="H29" s="1"/>
      <x:c r="I29" s="1"/>
      <x:c r="J29" s="1"/>
      <x:c r="K29" s="1"/>
      <x:c r="L29" s="1"/>
      <x:c r="M29" s="1"/>
      <x:c r="N29" s="1"/>
      <x:c r="O29" s="1"/>
      <x:c r="P29" s="1"/>
    </x:row>
    <x:row r="30">
      <x:c r="A30" s="1"/>
      <x:c r="B30" s="1"/>
      <x:c r="C30" s="1"/>
      <x:c r="D30" s="1"/>
      <x:c r="E30" s="1"/>
      <x:c r="F30" s="1"/>
      <x:c r="G30" s="1"/>
      <x:c r="H30" s="1"/>
      <x:c r="I30" s="1"/>
      <x:c r="J30" s="1"/>
      <x:c r="K30" s="1"/>
      <x:c r="L30" s="1"/>
      <x:c r="M30" s="1"/>
      <x:c r="N30" s="1"/>
      <x:c r="O30" s="1"/>
      <x:c r="P30" s="1"/>
    </x:row>
    <x:row r="31">
      <x:c r="A31" s="1"/>
      <x:c r="B31" s="1"/>
      <x:c r="C31" s="1"/>
      <x:c r="D31" s="1"/>
      <x:c r="E31" s="1"/>
      <x:c r="F31" s="1"/>
      <x:c r="G31" s="1"/>
      <x:c r="H31" s="1"/>
      <x:c r="I31" s="1"/>
      <x:c r="J31" s="1"/>
      <x:c r="K31" s="1"/>
      <x:c r="L31" s="1"/>
      <x:c r="M31" s="1"/>
      <x:c r="N31" s="1"/>
      <x:c r="O31" s="1"/>
      <x:c r="P31" s="1"/>
    </x:row>
    <x:row r="32">
      <x:c r="A32" s="1"/>
      <x:c r="B32" s="1"/>
      <x:c r="C32" s="1"/>
      <x:c r="D32" s="1"/>
      <x:c r="E32" s="1"/>
      <x:c r="F32" s="1"/>
      <x:c r="G32" s="1"/>
      <x:c r="H32" s="1"/>
      <x:c r="I32" s="1"/>
      <x:c r="J32" s="1"/>
      <x:c r="K32" s="1"/>
      <x:c r="L32" s="1"/>
      <x:c r="M32" s="1"/>
      <x:c r="N32" s="1"/>
      <x:c r="O32" s="1"/>
      <x:c r="P32" s="1"/>
    </x:row>
    <x:row r="33">
      <x:c r="A33" s="1"/>
      <x:c r="B33" s="1"/>
      <x:c r="C33" s="1"/>
      <x:c r="D33" s="1"/>
      <x:c r="E33" s="1"/>
      <x:c r="F33" s="1"/>
      <x:c r="G33" s="1"/>
      <x:c r="H33" s="1"/>
      <x:c r="I33" s="1"/>
      <x:c r="J33" s="1"/>
      <x:c r="K33" s="1"/>
      <x:c r="L33" s="1"/>
      <x:c r="M33" s="1"/>
      <x:c r="N33" s="1"/>
      <x:c r="O33" s="1"/>
      <x:c r="P33" s="1"/>
    </x:row>
    <x:row r="34">
      <x:c r="A34" s="1"/>
      <x:c r="B34" s="1"/>
      <x:c r="C34" s="1"/>
      <x:c r="D34" s="1"/>
      <x:c r="E34" s="1"/>
      <x:c r="F34" s="1"/>
      <x:c r="G34" s="1"/>
      <x:c r="H34" s="1"/>
      <x:c r="I34" s="1"/>
      <x:c r="J34" s="1"/>
      <x:c r="K34" s="1"/>
      <x:c r="L34" s="1"/>
      <x:c r="M34" s="1"/>
      <x:c r="N34" s="1"/>
      <x:c r="O34" s="1"/>
      <x:c r="P34" s="1"/>
    </x:row>
    <x:row r="35">
      <x:c r="A35" s="1"/>
      <x:c r="B35" s="1"/>
      <x:c r="C35" s="1"/>
      <x:c r="D35" s="1"/>
      <x:c r="E35" s="1"/>
      <x:c r="F35" s="1"/>
      <x:c r="G35" s="1"/>
      <x:c r="H35" s="1"/>
      <x:c r="I35" s="1"/>
      <x:c r="J35" s="1"/>
      <x:c r="K35" s="1"/>
      <x:c r="L35" s="1"/>
      <x:c r="M35" s="1"/>
      <x:c r="N35" s="1"/>
      <x:c r="O35" s="1"/>
      <x:c r="P35" s="1"/>
    </x:row>
    <x:row r="36">
      <x:c r="A36" s="1"/>
      <x:c r="B36" s="1"/>
      <x:c r="C36" s="1"/>
      <x:c r="D36" s="1"/>
      <x:c r="E36" s="1"/>
      <x:c r="F36" s="1"/>
      <x:c r="G36" s="1"/>
      <x:c r="H36" s="1"/>
      <x:c r="I36" s="1"/>
      <x:c r="J36" s="1"/>
      <x:c r="K36" s="1"/>
      <x:c r="L36" s="1"/>
      <x:c r="M36" s="1"/>
      <x:c r="N36" s="1"/>
      <x:c r="O36" s="1"/>
      <x:c r="P36" s="1"/>
    </x:row>
    <x:row r="37">
      <x:c r="A37" s="1"/>
      <x:c r="B37" s="1"/>
      <x:c r="C37" s="1"/>
      <x:c r="D37" s="1"/>
      <x:c r="E37" s="1"/>
      <x:c r="F37" s="1"/>
      <x:c r="G37" s="1"/>
      <x:c r="H37" s="1"/>
      <x:c r="I37" s="1"/>
      <x:c r="J37" s="1"/>
      <x:c r="K37" s="1"/>
      <x:c r="L37" s="1"/>
      <x:c r="M37" s="1"/>
      <x:c r="N37" s="1"/>
      <x:c r="O37" s="1"/>
      <x:c r="P37" s="1"/>
    </x:row>
    <x:row r="38">
      <x:c r="A38" s="1"/>
      <x:c r="B38" s="1"/>
      <x:c r="C38" s="1"/>
      <x:c r="D38" s="1"/>
      <x:c r="E38" s="1"/>
      <x:c r="F38" s="1"/>
      <x:c r="G38" s="1"/>
      <x:c r="H38" s="1"/>
      <x:c r="I38" s="1"/>
      <x:c r="J38" s="1"/>
      <x:c r="K38" s="1"/>
      <x:c r="L38" s="1"/>
      <x:c r="M38" s="1"/>
      <x:c r="N38" s="1"/>
      <x:c r="O38" s="1"/>
      <x:c r="P38" s="1"/>
    </x:row>
    <x:row r="39">
      <x:c r="A39" s="1"/>
      <x:c r="B39" s="1"/>
      <x:c r="C39" s="1"/>
      <x:c r="D39" s="1"/>
      <x:c r="E39" s="1"/>
      <x:c r="F39" s="1"/>
      <x:c r="G39" s="1"/>
      <x:c r="H39" s="1"/>
      <x:c r="I39" s="1"/>
      <x:c r="J39" s="1"/>
      <x:c r="K39" s="1"/>
      <x:c r="L39" s="1"/>
      <x:c r="M39" s="1"/>
      <x:c r="N39" s="1"/>
      <x:c r="O39" s="1"/>
      <x:c r="P39" s="1"/>
    </x:row>
    <x:row r="40">
      <x:c r="A40" s="1"/>
      <x:c r="B40" s="1"/>
      <x:c r="C40" s="1"/>
      <x:c r="D40" s="1"/>
      <x:c r="E40" s="1"/>
      <x:c r="F40" s="1"/>
      <x:c r="G40" s="1"/>
      <x:c r="H40" s="1"/>
      <x:c r="I40" s="1"/>
      <x:c r="J40" s="1"/>
      <x:c r="K40" s="1"/>
      <x:c r="L40" s="1"/>
      <x:c r="M40" s="1"/>
      <x:c r="N40" s="1"/>
      <x:c r="O40" s="1"/>
      <x:c r="P40" s="1"/>
    </x:row>
    <x:row r="41">
      <x:c r="A41" s="1"/>
      <x:c r="B41" s="1"/>
      <x:c r="C41" s="1"/>
      <x:c r="D41" s="1"/>
      <x:c r="E41" s="1"/>
      <x:c r="F41" s="1"/>
      <x:c r="G41" s="1"/>
      <x:c r="H41" s="1"/>
      <x:c r="I41" s="1"/>
      <x:c r="J41" s="1"/>
      <x:c r="K41" s="1"/>
      <x:c r="L41" s="1"/>
      <x:c r="M41" s="1"/>
      <x:c r="N41" s="1"/>
      <x:c r="O41" s="1"/>
      <x:c r="P41" s="1"/>
    </x:row>
    <x:row r="42">
      <x:c r="A42" s="1"/>
      <x:c r="B42" s="1"/>
      <x:c r="C42" s="1"/>
      <x:c r="D42" s="1"/>
      <x:c r="E42" s="1"/>
      <x:c r="F42" s="1"/>
      <x:c r="G42" s="1"/>
      <x:c r="H42" s="1"/>
      <x:c r="I42" s="1"/>
      <x:c r="J42" s="1"/>
      <x:c r="K42" s="1"/>
      <x:c r="L42" s="1"/>
      <x:c r="M42" s="1"/>
      <x:c r="N42" s="1"/>
      <x:c r="O42" s="1"/>
      <x:c r="P42" s="1"/>
    </x:row>
    <x:row r="43">
      <x:c r="A43" s="1"/>
      <x:c r="B43" s="1"/>
      <x:c r="C43" s="1"/>
      <x:c r="D43" s="1"/>
      <x:c r="E43" s="1"/>
      <x:c r="F43" s="1"/>
      <x:c r="G43" s="1"/>
      <x:c r="H43" s="1"/>
      <x:c r="I43" s="1"/>
      <x:c r="J43" s="1"/>
      <x:c r="K43" s="1"/>
      <x:c r="L43" s="1"/>
      <x:c r="M43" s="1"/>
      <x:c r="N43" s="1"/>
      <x:c r="O43" s="1"/>
      <x:c r="P43" s="1"/>
    </x:row>
    <x:row r="44">
      <x:c r="A44" s="1"/>
      <x:c r="B44" s="1"/>
      <x:c r="C44" s="1"/>
      <x:c r="D44" s="1"/>
      <x:c r="E44" s="1"/>
      <x:c r="F44" s="1"/>
      <x:c r="G44" s="1"/>
      <x:c r="H44" s="1"/>
      <x:c r="I44" s="1"/>
      <x:c r="J44" s="1"/>
      <x:c r="K44" s="1"/>
      <x:c r="L44" s="1"/>
      <x:c r="M44" s="1"/>
      <x:c r="N44" s="1"/>
      <x:c r="O44" s="1"/>
      <x:c r="P44" s="1"/>
    </x:row>
    <x:row r="45">
      <x:c r="A45" s="1"/>
      <x:c r="B45" s="1"/>
      <x:c r="C45" s="1"/>
      <x:c r="D45" s="1"/>
      <x:c r="E45" s="1"/>
      <x:c r="F45" s="1"/>
      <x:c r="G45" s="1"/>
      <x:c r="H45" s="1"/>
      <x:c r="I45" s="1"/>
      <x:c r="J45" s="1"/>
      <x:c r="K45" s="1"/>
      <x:c r="L45" s="1"/>
      <x:c r="M45" s="1"/>
      <x:c r="N45" s="1"/>
      <x:c r="O45" s="1"/>
      <x:c r="P45" s="1"/>
    </x:row>
    <x:row r="46">
      <x:c r="A46" s="1"/>
      <x:c r="B46" s="1"/>
      <x:c r="C46" s="1"/>
      <x:c r="D46" s="1"/>
      <x:c r="E46" s="1"/>
      <x:c r="F46" s="1"/>
      <x:c r="G46" s="1"/>
      <x:c r="H46" s="1"/>
      <x:c r="I46" s="1"/>
      <x:c r="J46" s="1"/>
      <x:c r="K46" s="1"/>
      <x:c r="L46" s="1"/>
      <x:c r="M46" s="1"/>
      <x:c r="N46" s="1"/>
      <x:c r="O46" s="1"/>
      <x:c r="P46" s="1"/>
    </x:row>
    <x:row r="47">
      <x:c r="A47" s="1"/>
      <x:c r="B47" s="1"/>
      <x:c r="C47" s="1"/>
      <x:c r="D47" s="1"/>
      <x:c r="E47" s="1"/>
      <x:c r="F47" s="1"/>
      <x:c r="G47" s="1"/>
      <x:c r="H47" s="1"/>
      <x:c r="I47" s="1"/>
      <x:c r="J47" s="1"/>
      <x:c r="K47" s="1"/>
      <x:c r="L47" s="1"/>
      <x:c r="M47" s="1"/>
      <x:c r="N47" s="1"/>
      <x:c r="O47" s="1"/>
      <x:c r="P47" s="1"/>
    </x:row>
    <x:row r="48">
      <x:c r="A48" s="1"/>
      <x:c r="B48" s="1"/>
      <x:c r="C48" s="1"/>
      <x:c r="D48" s="1"/>
      <x:c r="E48" s="1"/>
      <x:c r="F48" s="1"/>
      <x:c r="G48" s="1"/>
      <x:c r="H48" s="1"/>
      <x:c r="I48" s="1"/>
      <x:c r="J48" s="1"/>
      <x:c r="K48" s="1"/>
      <x:c r="L48" s="1"/>
      <x:c r="M48" s="1"/>
      <x:c r="N48" s="1"/>
      <x:c r="O48" s="1"/>
      <x:c r="P48" s="1"/>
    </x:row>
    <x:row r="49">
      <x:c r="A49" s="1"/>
      <x:c r="B49" s="1"/>
      <x:c r="C49" s="1"/>
      <x:c r="D49" s="1"/>
      <x:c r="E49" s="1"/>
      <x:c r="F49" s="1"/>
      <x:c r="G49" s="1"/>
      <x:c r="H49" s="1"/>
      <x:c r="I49" s="1"/>
      <x:c r="J49" s="1"/>
      <x:c r="K49" s="1"/>
      <x:c r="L49" s="1"/>
      <x:c r="M49" s="1"/>
      <x:c r="N49" s="1"/>
      <x:c r="O49" s="1"/>
      <x:c r="P49" s="1"/>
    </x:row>
    <x:row r="50">
      <x:c r="A50" s="1"/>
      <x:c r="B50" s="1"/>
      <x:c r="C50" s="1"/>
      <x:c r="D50" s="1"/>
      <x:c r="E50" s="1"/>
      <x:c r="F50" s="1"/>
      <x:c r="G50" s="1"/>
      <x:c r="H50" s="1"/>
      <x:c r="I50" s="1"/>
      <x:c r="J50" s="1"/>
      <x:c r="K50" s="1"/>
      <x:c r="L50" s="1"/>
      <x:c r="M50" s="1"/>
      <x:c r="N50" s="1"/>
      <x:c r="O50" s="1"/>
      <x:c r="P50" s="1"/>
    </x:row>
    <x:row r="51">
      <x:c r="A51" s="1"/>
      <x:c r="B51" s="1"/>
      <x:c r="C51" s="1"/>
      <x:c r="D51" s="1"/>
      <x:c r="E51" s="1"/>
      <x:c r="F51" s="1"/>
      <x:c r="G51" s="1"/>
      <x:c r="H51" s="1"/>
      <x:c r="I51" s="1"/>
      <x:c r="J51" s="1"/>
      <x:c r="K51" s="1"/>
      <x:c r="L51" s="1"/>
      <x:c r="M51" s="1"/>
      <x:c r="N51" s="1"/>
      <x:c r="O51" s="1"/>
      <x:c r="P51" s="1"/>
    </x:row>
    <x:row r="52">
      <x:c r="A52" s="1"/>
      <x:c r="B52" s="1"/>
      <x:c r="C52" s="1"/>
      <x:c r="D52" s="1"/>
      <x:c r="E52" s="1"/>
      <x:c r="F52" s="1"/>
      <x:c r="G52" s="1"/>
      <x:c r="H52" s="1"/>
      <x:c r="I52" s="1"/>
      <x:c r="J52" s="1"/>
      <x:c r="K52" s="1"/>
      <x:c r="L52" s="1"/>
      <x:c r="M52" s="1"/>
      <x:c r="N52" s="1"/>
      <x:c r="O52" s="1"/>
      <x:c r="P52" s="1"/>
    </x:row>
    <x:row r="53">
      <x:c r="A53" s="1"/>
      <x:c r="B53" s="1"/>
      <x:c r="C53" s="1"/>
      <x:c r="D53" s="1"/>
      <x:c r="E53" s="1"/>
      <x:c r="F53" s="1"/>
      <x:c r="G53" s="1"/>
      <x:c r="H53" s="1"/>
      <x:c r="I53" s="1"/>
      <x:c r="J53" s="1"/>
      <x:c r="K53" s="1"/>
      <x:c r="L53" s="1"/>
      <x:c r="M53" s="1"/>
      <x:c r="N53" s="1"/>
      <x:c r="O53" s="1"/>
      <x:c r="P53" s="1"/>
    </x:row>
    <x:row r="54">
      <x:c r="A54" s="1"/>
      <x:c r="B54" s="1"/>
      <x:c r="C54" s="1"/>
      <x:c r="D54" s="1"/>
      <x:c r="E54" s="1"/>
      <x:c r="F54" s="1"/>
      <x:c r="G54" s="1"/>
      <x:c r="H54" s="1"/>
      <x:c r="I54" s="1"/>
      <x:c r="J54" s="1"/>
      <x:c r="K54" s="1"/>
      <x:c r="L54" s="1"/>
      <x:c r="M54" s="1"/>
      <x:c r="N54" s="1"/>
      <x:c r="O54" s="1"/>
      <x:c r="P54" s="1"/>
    </x:row>
    <x:row r="55">
      <x:c r="A55" s="1"/>
      <x:c r="B55" s="1"/>
      <x:c r="C55" s="1"/>
      <x:c r="D55" s="1"/>
      <x:c r="E55" s="1"/>
      <x:c r="F55" s="1"/>
      <x:c r="G55" s="1"/>
      <x:c r="H55" s="1"/>
      <x:c r="I55" s="1"/>
      <x:c r="J55" s="1"/>
      <x:c r="K55" s="1"/>
      <x:c r="L55" s="1"/>
      <x:c r="M55" s="1"/>
      <x:c r="N55" s="1"/>
      <x:c r="O55" s="1"/>
      <x:c r="P55" s="1"/>
    </x:row>
    <x:row r="56">
      <x:c r="A56" s="1"/>
      <x:c r="B56" s="1"/>
      <x:c r="C56" s="1"/>
      <x:c r="D56" s="1"/>
      <x:c r="E56" s="1"/>
      <x:c r="F56" s="1"/>
      <x:c r="G56" s="1"/>
      <x:c r="H56" s="1"/>
      <x:c r="I56" s="1"/>
      <x:c r="J56" s="1"/>
      <x:c r="K56" s="1"/>
      <x:c r="L56" s="1"/>
      <x:c r="M56" s="1"/>
      <x:c r="N56" s="1"/>
      <x:c r="O56" s="1"/>
      <x:c r="P56" s="1"/>
    </x:row>
    <x:row r="57">
      <x:c r="A57" s="1"/>
      <x:c r="B57" s="1"/>
      <x:c r="C57" s="1"/>
      <x:c r="D57" s="1"/>
      <x:c r="E57" s="1"/>
      <x:c r="F57" s="1"/>
      <x:c r="G57" s="1"/>
      <x:c r="H57" s="1"/>
      <x:c r="I57" s="1"/>
      <x:c r="J57" s="1"/>
      <x:c r="K57" s="1"/>
      <x:c r="L57" s="1"/>
      <x:c r="M57" s="1"/>
      <x:c r="N57" s="1"/>
      <x:c r="O57" s="1"/>
      <x:c r="P57" s="1"/>
    </x:row>
    <x:row r="58">
      <x:c r="A58" s="1"/>
      <x:c r="B58" s="1"/>
      <x:c r="C58" s="1"/>
      <x:c r="D58" s="1"/>
      <x:c r="E58" s="1"/>
      <x:c r="F58" s="1"/>
      <x:c r="G58" s="1"/>
      <x:c r="H58" s="1"/>
      <x:c r="I58" s="1"/>
      <x:c r="J58" s="1"/>
      <x:c r="K58" s="1"/>
      <x:c r="L58" s="1"/>
      <x:c r="M58" s="1"/>
      <x:c r="N58" s="1"/>
      <x:c r="O58" s="1"/>
      <x:c r="P58" s="1"/>
    </x:row>
    <x:row r="59">
      <x:c r="A59" s="1"/>
      <x:c r="B59" s="1"/>
      <x:c r="C59" s="1"/>
      <x:c r="D59" s="1"/>
      <x:c r="E59" s="1"/>
      <x:c r="F59" s="1"/>
      <x:c r="G59" s="1"/>
      <x:c r="H59" s="1"/>
      <x:c r="I59" s="1"/>
      <x:c r="J59" s="1"/>
      <x:c r="K59" s="1"/>
      <x:c r="L59" s="1"/>
      <x:c r="M59" s="1"/>
      <x:c r="N59" s="1"/>
      <x:c r="O59" s="1"/>
      <x:c r="P59" s="1"/>
    </x:row>
    <x:row r="60">
      <x:c r="A60" s="1"/>
      <x:c r="B60" s="1"/>
      <x:c r="C60" s="1"/>
      <x:c r="D60" s="1"/>
      <x:c r="E60" s="1"/>
      <x:c r="F60" s="1"/>
      <x:c r="G60" s="1"/>
      <x:c r="H60" s="1"/>
      <x:c r="I60" s="1"/>
      <x:c r="J60" s="1"/>
      <x:c r="K60" s="1"/>
      <x:c r="L60" s="1"/>
      <x:c r="M60" s="1"/>
      <x:c r="N60" s="1"/>
      <x:c r="O60" s="1"/>
      <x:c r="P60" s="1"/>
    </x:row>
    <x:row r="61">
      <x:c r="A61" s="1"/>
      <x:c r="B61" s="1"/>
      <x:c r="C61" s="1"/>
      <x:c r="D61" s="1"/>
      <x:c r="E61" s="1"/>
      <x:c r="F61" s="1"/>
      <x:c r="G61" s="1"/>
      <x:c r="H61" s="1"/>
      <x:c r="I61" s="1"/>
      <x:c r="J61" s="1"/>
      <x:c r="K61" s="1"/>
      <x:c r="L61" s="1"/>
      <x:c r="M61" s="1"/>
      <x:c r="N61" s="1"/>
      <x:c r="O61" s="1"/>
      <x:c r="P61" s="1"/>
    </x:row>
    <x:row r="62">
      <x:c r="A62" s="1"/>
      <x:c r="B62" s="1"/>
      <x:c r="C62" s="1"/>
      <x:c r="D62" s="1"/>
      <x:c r="E62" s="1"/>
      <x:c r="F62" s="1"/>
      <x:c r="G62" s="1"/>
      <x:c r="H62" s="1"/>
      <x:c r="I62" s="1"/>
      <x:c r="J62" s="1"/>
      <x:c r="K62" s="1"/>
      <x:c r="L62" s="1"/>
      <x:c r="M62" s="1"/>
      <x:c r="N62" s="1"/>
      <x:c r="O62" s="1"/>
      <x:c r="P62" s="1"/>
    </x:row>
    <x:row r="63">
      <x:c r="A63" s="1"/>
      <x:c r="B63" s="1"/>
      <x:c r="C63" s="1"/>
      <x:c r="D63" s="1"/>
      <x:c r="E63" s="1"/>
      <x:c r="F63" s="1"/>
      <x:c r="G63" s="1"/>
      <x:c r="H63" s="1"/>
      <x:c r="I63" s="1"/>
      <x:c r="J63" s="1"/>
      <x:c r="K63" s="1"/>
      <x:c r="L63" s="1"/>
      <x:c r="M63" s="1"/>
      <x:c r="N63" s="1"/>
      <x:c r="O63" s="1"/>
      <x:c r="P63" s="1"/>
    </x:row>
    <x:row r="64">
      <x:c r="A64" s="1"/>
      <x:c r="B64" s="1"/>
      <x:c r="C64" s="1"/>
      <x:c r="D64" s="1"/>
      <x:c r="E64" s="1"/>
      <x:c r="F64" s="1"/>
      <x:c r="G64" s="1"/>
      <x:c r="H64" s="1"/>
      <x:c r="I64" s="1"/>
      <x:c r="J64" s="1"/>
      <x:c r="K64" s="1"/>
      <x:c r="L64" s="1"/>
      <x:c r="M64" s="1"/>
      <x:c r="N64" s="1"/>
      <x:c r="O64" s="1"/>
      <x:c r="P64" s="1"/>
    </x:row>
    <x:row r="65">
      <x:c r="A65" s="1"/>
      <x:c r="B65" s="1"/>
      <x:c r="C65" s="1"/>
      <x:c r="D65" s="1"/>
      <x:c r="E65" s="1"/>
      <x:c r="F65" s="1"/>
      <x:c r="G65" s="1"/>
      <x:c r="H65" s="1"/>
      <x:c r="I65" s="1"/>
      <x:c r="J65" s="1"/>
      <x:c r="K65" s="1"/>
      <x:c r="L65" s="1"/>
      <x:c r="M65" s="1"/>
      <x:c r="N65" s="1"/>
      <x:c r="O65" s="1"/>
      <x:c r="P65" s="1"/>
    </x:row>
    <x:row r="66">
      <x:c r="A66" s="1"/>
      <x:c r="B66" s="1"/>
      <x:c r="C66" s="1"/>
      <x:c r="D66" s="1"/>
      <x:c r="E66" s="1"/>
      <x:c r="F66" s="1"/>
      <x:c r="G66" s="1"/>
      <x:c r="H66" s="1"/>
      <x:c r="I66" s="1"/>
      <x:c r="J66" s="1"/>
      <x:c r="K66" s="1"/>
      <x:c r="L66" s="1"/>
      <x:c r="M66" s="1"/>
      <x:c r="N66" s="1"/>
      <x:c r="O66" s="1"/>
      <x:c r="P66" s="1"/>
    </x:row>
    <x:row r="67">
      <x:c r="A67" s="1"/>
      <x:c r="B67" s="1"/>
      <x:c r="C67" s="1"/>
      <x:c r="D67" s="1"/>
      <x:c r="E67" s="1"/>
      <x:c r="F67" s="1"/>
      <x:c r="G67" s="1"/>
      <x:c r="H67" s="1"/>
      <x:c r="I67" s="1"/>
      <x:c r="J67" s="1"/>
      <x:c r="K67" s="1"/>
      <x:c r="L67" s="1"/>
      <x:c r="M67" s="1"/>
      <x:c r="N67" s="1"/>
      <x:c r="O67" s="1"/>
      <x:c r="P67" s="1"/>
    </x:row>
    <x:row r="68">
      <x:c r="A68" s="1"/>
      <x:c r="B68" s="1"/>
      <x:c r="C68" s="1"/>
      <x:c r="D68" s="1"/>
      <x:c r="E68" s="1"/>
      <x:c r="F68" s="1"/>
      <x:c r="G68" s="1"/>
      <x:c r="H68" s="1"/>
      <x:c r="I68" s="1"/>
      <x:c r="J68" s="1"/>
      <x:c r="K68" s="1"/>
      <x:c r="L68" s="1"/>
      <x:c r="M68" s="1"/>
      <x:c r="N68" s="1"/>
      <x:c r="O68" s="1"/>
      <x:c r="P68" s="1"/>
    </x:row>
    <x:row r="69">
      <x:c r="A69" s="1"/>
      <x:c r="B69" s="1"/>
      <x:c r="C69" s="1"/>
      <x:c r="D69" s="1"/>
      <x:c r="E69" s="1"/>
      <x:c r="F69" s="1"/>
      <x:c r="G69" s="1"/>
      <x:c r="H69" s="1"/>
      <x:c r="I69" s="1"/>
      <x:c r="J69" s="1"/>
      <x:c r="K69" s="1"/>
      <x:c r="L69" s="1"/>
      <x:c r="M69" s="1"/>
      <x:c r="N69" s="1"/>
      <x:c r="O69" s="1"/>
      <x:c r="P69" s="1"/>
    </x:row>
    <x:row r="70">
      <x:c r="A70" s="1"/>
      <x:c r="B70" s="1"/>
      <x:c r="C70" s="1"/>
      <x:c r="D70" s="1"/>
      <x:c r="E70" s="1"/>
      <x:c r="F70" s="1"/>
      <x:c r="G70" s="1"/>
      <x:c r="H70" s="1"/>
      <x:c r="I70" s="1"/>
      <x:c r="J70" s="1"/>
      <x:c r="K70" s="1"/>
      <x:c r="L70" s="1"/>
      <x:c r="M70" s="1"/>
      <x:c r="N70" s="1"/>
      <x:c r="O70" s="1"/>
      <x:c r="P70" s="1"/>
    </x:row>
    <x:row r="71">
      <x:c r="A71" s="1"/>
      <x:c r="B71" s="1"/>
      <x:c r="C71" s="1"/>
      <x:c r="D71" s="1"/>
      <x:c r="E71" s="1"/>
      <x:c r="F71" s="1"/>
      <x:c r="G71" s="1"/>
      <x:c r="H71" s="1"/>
      <x:c r="I71" s="1"/>
      <x:c r="J71" s="1"/>
      <x:c r="K71" s="1"/>
      <x:c r="L71" s="1"/>
      <x:c r="M71" s="1"/>
      <x:c r="N71" s="1"/>
      <x:c r="O71" s="1"/>
      <x:c r="P71" s="1"/>
    </x:row>
    <x:row r="72">
      <x:c r="A72" s="1"/>
      <x:c r="B72" s="1"/>
      <x:c r="C72" s="1"/>
      <x:c r="D72" s="1"/>
      <x:c r="E72" s="1"/>
      <x:c r="F72" s="1"/>
      <x:c r="G72" s="1"/>
      <x:c r="H72" s="1"/>
      <x:c r="I72" s="1"/>
      <x:c r="J72" s="1"/>
      <x:c r="K72" s="1"/>
      <x:c r="L72" s="1"/>
      <x:c r="M72" s="1"/>
      <x:c r="N72" s="1"/>
      <x:c r="O72" s="1"/>
      <x:c r="P72" s="1"/>
    </x:row>
    <x:row r="73">
      <x:c r="A73" s="1"/>
      <x:c r="B73" s="1"/>
      <x:c r="C73" s="1"/>
      <x:c r="D73" s="1"/>
      <x:c r="E73" s="1"/>
      <x:c r="F73" s="1"/>
      <x:c r="G73" s="1"/>
      <x:c r="H73" s="1"/>
      <x:c r="I73" s="1"/>
      <x:c r="J73" s="1"/>
      <x:c r="K73" s="1"/>
      <x:c r="L73" s="1"/>
      <x:c r="M73" s="1"/>
      <x:c r="N73" s="1"/>
      <x:c r="O73" s="1"/>
      <x:c r="P73" s="1"/>
    </x:row>
    <x:row r="74">
      <x:c r="A74" s="1"/>
      <x:c r="B74" s="1"/>
      <x:c r="C74" s="1"/>
      <x:c r="D74" s="1"/>
      <x:c r="E74" s="1"/>
      <x:c r="F74" s="1"/>
      <x:c r="G74" s="1"/>
      <x:c r="H74" s="1"/>
      <x:c r="I74" s="1"/>
      <x:c r="J74" s="1"/>
      <x:c r="K74" s="1"/>
      <x:c r="L74" s="1"/>
      <x:c r="M74" s="1"/>
      <x:c r="N74" s="1"/>
      <x:c r="O74" s="1"/>
      <x:c r="P74" s="1"/>
    </x:row>
    <x:row r="75">
      <x:c r="A75" s="1"/>
      <x:c r="B75" s="1"/>
      <x:c r="C75" s="1"/>
      <x:c r="D75" s="1"/>
      <x:c r="E75" s="1"/>
      <x:c r="F75" s="1"/>
      <x:c r="G75" s="1"/>
      <x:c r="H75" s="1"/>
      <x:c r="I75" s="1"/>
      <x:c r="J75" s="1"/>
      <x:c r="K75" s="1"/>
      <x:c r="L75" s="1"/>
      <x:c r="M75" s="1"/>
      <x:c r="N75" s="1"/>
      <x:c r="O75" s="1"/>
      <x:c r="P75" s="1"/>
    </x:row>
    <x:row r="76">
      <x:c r="A76" s="1"/>
      <x:c r="B76" s="1"/>
      <x:c r="C76" s="1"/>
      <x:c r="D76" s="1"/>
      <x:c r="E76" s="1"/>
      <x:c r="F76" s="1"/>
      <x:c r="G76" s="1"/>
      <x:c r="H76" s="1"/>
      <x:c r="I76" s="1"/>
      <x:c r="J76" s="1"/>
      <x:c r="K76" s="1"/>
      <x:c r="L76" s="1"/>
      <x:c r="M76" s="1"/>
      <x:c r="N76" s="1"/>
      <x:c r="O76" s="1"/>
      <x:c r="P76" s="1"/>
    </x:row>
    <x:row r="77">
      <x:c r="A77" s="1"/>
      <x:c r="B77" s="1"/>
      <x:c r="C77" s="1"/>
      <x:c r="D77" s="1"/>
      <x:c r="E77" s="1"/>
      <x:c r="F77" s="1"/>
      <x:c r="G77" s="1"/>
      <x:c r="H77" s="1"/>
      <x:c r="I77" s="1"/>
      <x:c r="J77" s="1"/>
      <x:c r="K77" s="1"/>
      <x:c r="L77" s="1"/>
      <x:c r="M77" s="1"/>
      <x:c r="N77" s="1"/>
      <x:c r="O77" s="1"/>
      <x:c r="P77" s="1"/>
    </x:row>
    <x:row r="78">
      <x:c r="A78" s="1"/>
      <x:c r="B78" s="1"/>
      <x:c r="C78" s="1"/>
      <x:c r="D78" s="1"/>
      <x:c r="E78" s="1"/>
      <x:c r="F78" s="1"/>
      <x:c r="G78" s="1"/>
      <x:c r="H78" s="1"/>
      <x:c r="I78" s="1"/>
      <x:c r="J78" s="1"/>
      <x:c r="K78" s="1"/>
      <x:c r="L78" s="1"/>
      <x:c r="M78" s="1"/>
      <x:c r="N78" s="1"/>
      <x:c r="O78" s="1"/>
      <x:c r="P78" s="1"/>
    </x:row>
    <x:row r="79">
      <x:c r="A79" s="1"/>
      <x:c r="B79" s="1"/>
      <x:c r="C79" s="1"/>
      <x:c r="D79" s="1"/>
      <x:c r="E79" s="1"/>
      <x:c r="F79" s="1"/>
      <x:c r="G79" s="1"/>
      <x:c r="H79" s="1"/>
      <x:c r="I79" s="1"/>
      <x:c r="J79" s="1"/>
      <x:c r="K79" s="1"/>
      <x:c r="L79" s="1"/>
      <x:c r="M79" s="1"/>
      <x:c r="N79" s="1"/>
      <x:c r="O79" s="1"/>
      <x:c r="P79" s="1"/>
    </x:row>
    <x:row r="80">
      <x:c r="A80" s="1"/>
      <x:c r="B80" s="1"/>
      <x:c r="C80" s="1"/>
      <x:c r="D80" s="1"/>
      <x:c r="E80" s="1"/>
      <x:c r="F80" s="1"/>
      <x:c r="G80" s="1"/>
      <x:c r="H80" s="1"/>
      <x:c r="I80" s="1"/>
      <x:c r="J80" s="1"/>
      <x:c r="K80" s="1"/>
      <x:c r="L80" s="1"/>
      <x:c r="M80" s="1"/>
      <x:c r="N80" s="1"/>
      <x:c r="O80" s="1"/>
      <x:c r="P80" s="1"/>
    </x:row>
    <x:row r="81">
      <x:c r="A81" s="1"/>
      <x:c r="B81" s="1"/>
      <x:c r="C81" s="1"/>
      <x:c r="D81" s="1"/>
      <x:c r="E81" s="1"/>
      <x:c r="F81" s="1"/>
      <x:c r="G81" s="1"/>
      <x:c r="H81" s="1"/>
      <x:c r="I81" s="1"/>
      <x:c r="J81" s="1"/>
      <x:c r="K81" s="1"/>
      <x:c r="L81" s="1"/>
      <x:c r="M81" s="1"/>
      <x:c r="N81" s="1"/>
      <x:c r="O81" s="1"/>
      <x:c r="P81" s="1"/>
    </x:row>
    <x:row r="82">
      <x:c r="A82" s="1"/>
      <x:c r="B82" s="1"/>
      <x:c r="C82" s="1"/>
      <x:c r="D82" s="1"/>
      <x:c r="E82" s="1"/>
      <x:c r="F82" s="1"/>
      <x:c r="G82" s="1"/>
      <x:c r="H82" s="1"/>
      <x:c r="I82" s="1"/>
      <x:c r="J82" s="1"/>
      <x:c r="K82" s="1"/>
      <x:c r="L82" s="1"/>
      <x:c r="M82" s="1"/>
      <x:c r="N82" s="1"/>
      <x:c r="O82" s="1"/>
      <x:c r="P82" s="1"/>
    </x:row>
    <x:row r="83">
      <x:c r="A83" s="1"/>
      <x:c r="B83" s="1"/>
      <x:c r="C83" s="1"/>
      <x:c r="D83" s="1"/>
      <x:c r="E83" s="1"/>
      <x:c r="F83" s="1"/>
      <x:c r="G83" s="1"/>
      <x:c r="H83" s="1"/>
      <x:c r="I83" s="1"/>
      <x:c r="J83" s="1"/>
      <x:c r="K83" s="1"/>
      <x:c r="L83" s="1"/>
      <x:c r="M83" s="1"/>
      <x:c r="N83" s="1"/>
      <x:c r="O83" s="1"/>
      <x:c r="P83" s="1"/>
    </x:row>
    <x:row r="84">
      <x:c r="A84" s="1"/>
      <x:c r="B84" s="1"/>
      <x:c r="C84" s="1"/>
      <x:c r="D84" s="1"/>
      <x:c r="E84" s="1"/>
      <x:c r="F84" s="1"/>
      <x:c r="G84" s="1"/>
      <x:c r="H84" s="1"/>
      <x:c r="I84" s="1"/>
      <x:c r="J84" s="1"/>
      <x:c r="K84" s="1"/>
      <x:c r="L84" s="1"/>
      <x:c r="M84" s="1"/>
      <x:c r="N84" s="1"/>
      <x:c r="O84" s="1"/>
      <x:c r="P84" s="1"/>
    </x:row>
    <x:row r="85">
      <x:c r="A85" s="1"/>
      <x:c r="B85" s="1"/>
      <x:c r="C85" s="1"/>
      <x:c r="D85" s="1"/>
      <x:c r="E85" s="1"/>
      <x:c r="F85" s="1"/>
      <x:c r="G85" s="1"/>
      <x:c r="H85" s="1"/>
      <x:c r="I85" s="1"/>
      <x:c r="J85" s="1"/>
      <x:c r="K85" s="1"/>
      <x:c r="L85" s="1"/>
      <x:c r="M85" s="1"/>
      <x:c r="N85" s="1"/>
      <x:c r="O85" s="1"/>
      <x:c r="P85" s="1"/>
    </x:row>
    <x:row r="86">
      <x:c r="A86" s="1"/>
      <x:c r="B86" s="1"/>
      <x:c r="C86" s="1"/>
      <x:c r="D86" s="1"/>
      <x:c r="E86" s="1"/>
      <x:c r="F86" s="1"/>
      <x:c r="G86" s="1"/>
      <x:c r="H86" s="1"/>
      <x:c r="I86" s="1"/>
      <x:c r="J86" s="1"/>
      <x:c r="K86" s="1"/>
      <x:c r="L86" s="1"/>
      <x:c r="M86" s="1"/>
      <x:c r="N86" s="1"/>
      <x:c r="O86" s="1"/>
      <x:c r="P86" s="1"/>
    </x:row>
    <x:row r="87">
      <x:c r="A87" s="1"/>
      <x:c r="B87" s="1"/>
      <x:c r="C87" s="1"/>
      <x:c r="D87" s="1"/>
      <x:c r="E87" s="1"/>
      <x:c r="F87" s="1"/>
      <x:c r="G87" s="1"/>
      <x:c r="H87" s="1"/>
      <x:c r="I87" s="1"/>
      <x:c r="J87" s="1"/>
      <x:c r="K87" s="1"/>
      <x:c r="L87" s="1"/>
      <x:c r="M87" s="1"/>
      <x:c r="N87" s="1"/>
      <x:c r="O87" s="1"/>
      <x:c r="P87" s="1"/>
    </x:row>
    <x:row r="88">
      <x:c r="A88" s="1"/>
      <x:c r="B88" s="1"/>
      <x:c r="C88" s="1"/>
      <x:c r="D88" s="1"/>
      <x:c r="E88" s="1"/>
      <x:c r="F88" s="1"/>
      <x:c r="G88" s="1"/>
      <x:c r="H88" s="1"/>
      <x:c r="I88" s="1"/>
      <x:c r="J88" s="1"/>
      <x:c r="K88" s="1"/>
      <x:c r="L88" s="1"/>
      <x:c r="M88" s="1"/>
      <x:c r="N88" s="1"/>
      <x:c r="O88" s="1"/>
      <x:c r="P88" s="1"/>
    </x:row>
    <x:row r="89">
      <x:c r="A89" s="1"/>
      <x:c r="B89" s="1"/>
      <x:c r="C89" s="1"/>
      <x:c r="D89" s="1"/>
      <x:c r="E89" s="1"/>
      <x:c r="F89" s="1"/>
      <x:c r="G89" s="1"/>
      <x:c r="H89" s="1"/>
      <x:c r="I89" s="1"/>
      <x:c r="J89" s="1"/>
      <x:c r="K89" s="1"/>
      <x:c r="L89" s="1"/>
      <x:c r="M89" s="1"/>
      <x:c r="N89" s="1"/>
      <x:c r="O89" s="1"/>
      <x:c r="P89" s="1"/>
    </x:row>
    <x:row r="90">
      <x:c r="A90" s="1"/>
      <x:c r="B90" s="1"/>
      <x:c r="C90" s="1"/>
      <x:c r="D90" s="1"/>
      <x:c r="E90" s="1"/>
      <x:c r="F90" s="1"/>
      <x:c r="G90" s="1"/>
      <x:c r="H90" s="1"/>
      <x:c r="I90" s="1"/>
      <x:c r="J90" s="1"/>
      <x:c r="K90" s="1"/>
      <x:c r="L90" s="1"/>
      <x:c r="M90" s="1"/>
      <x:c r="N90" s="1"/>
      <x:c r="O90" s="1"/>
      <x:c r="P90" s="1"/>
    </x:row>
    <x:row r="91">
      <x:c r="A91" s="1"/>
      <x:c r="B91" s="1"/>
      <x:c r="C91" s="1"/>
      <x:c r="D91" s="1"/>
      <x:c r="E91" s="1"/>
      <x:c r="F91" s="1"/>
      <x:c r="G91" s="1"/>
      <x:c r="H91" s="1"/>
      <x:c r="I91" s="1"/>
      <x:c r="J91" s="1"/>
      <x:c r="K91" s="1"/>
      <x:c r="L91" s="1"/>
      <x:c r="M91" s="1"/>
      <x:c r="N91" s="1"/>
      <x:c r="O91" s="1"/>
      <x:c r="P91" s="1"/>
    </x:row>
    <x:row r="92">
      <x:c r="A92" s="1"/>
      <x:c r="B92" s="1"/>
      <x:c r="C92" s="1"/>
      <x:c r="D92" s="1"/>
      <x:c r="E92" s="1"/>
      <x:c r="F92" s="1"/>
      <x:c r="G92" s="1"/>
      <x:c r="H92" s="1"/>
      <x:c r="I92" s="1"/>
      <x:c r="J92" s="1"/>
      <x:c r="K92" s="1"/>
      <x:c r="L92" s="1"/>
      <x:c r="M92" s="1"/>
      <x:c r="N92" s="1"/>
      <x:c r="O92" s="1"/>
      <x:c r="P92" s="1"/>
    </x:row>
    <x:row r="93">
      <x:c r="A93" s="1"/>
      <x:c r="B93" s="1"/>
      <x:c r="C93" s="1"/>
      <x:c r="D93" s="1"/>
      <x:c r="E93" s="1"/>
      <x:c r="F93" s="1"/>
      <x:c r="G93" s="1"/>
      <x:c r="H93" s="1"/>
      <x:c r="I93" s="1"/>
      <x:c r="J93" s="1"/>
      <x:c r="K93" s="1"/>
      <x:c r="L93" s="1"/>
      <x:c r="M93" s="1"/>
      <x:c r="N93" s="1"/>
      <x:c r="O93" s="1"/>
      <x:c r="P93" s="1"/>
    </x:row>
    <x:row r="94">
      <x:c r="A94" s="1"/>
      <x:c r="B94" s="1"/>
      <x:c r="C94" s="1"/>
      <x:c r="D94" s="1"/>
      <x:c r="E94" s="1"/>
      <x:c r="F94" s="1"/>
      <x:c r="G94" s="1"/>
      <x:c r="H94" s="1"/>
      <x:c r="I94" s="1"/>
      <x:c r="J94" s="1"/>
      <x:c r="K94" s="1"/>
      <x:c r="L94" s="1"/>
      <x:c r="M94" s="1"/>
      <x:c r="N94" s="1"/>
      <x:c r="O94" s="1"/>
      <x:c r="P94" s="1"/>
    </x:row>
    <x:row r="95">
      <x:c r="A95" s="1"/>
      <x:c r="B95" s="1"/>
      <x:c r="C95" s="1"/>
      <x:c r="D95" s="1"/>
      <x:c r="E95" s="1"/>
      <x:c r="F95" s="1"/>
      <x:c r="G95" s="1"/>
      <x:c r="H95" s="1"/>
      <x:c r="I95" s="1"/>
      <x:c r="J95" s="1"/>
      <x:c r="K95" s="1"/>
      <x:c r="L95" s="1"/>
      <x:c r="M95" s="1"/>
      <x:c r="N95" s="1"/>
      <x:c r="O95" s="1"/>
      <x:c r="P95" s="1"/>
    </x:row>
    <x:row r="96">
      <x:c r="A96" s="1"/>
      <x:c r="B96" s="1"/>
      <x:c r="C96" s="1"/>
      <x:c r="D96" s="1"/>
      <x:c r="E96" s="1"/>
      <x:c r="F96" s="1"/>
      <x:c r="G96" s="1"/>
      <x:c r="H96" s="1"/>
      <x:c r="I96" s="1"/>
      <x:c r="J96" s="1"/>
      <x:c r="K96" s="1"/>
      <x:c r="L96" s="1"/>
      <x:c r="M96" s="1"/>
      <x:c r="N96" s="1"/>
      <x:c r="O96" s="1"/>
      <x:c r="P96" s="1"/>
    </x:row>
    <x:row r="97">
      <x:c r="A97" s="1"/>
      <x:c r="B97" s="1"/>
      <x:c r="C97" s="1"/>
      <x:c r="D97" s="1"/>
      <x:c r="E97" s="1"/>
      <x:c r="F97" s="1"/>
      <x:c r="G97" s="1"/>
      <x:c r="H97" s="1"/>
      <x:c r="I97" s="1"/>
      <x:c r="J97" s="1"/>
      <x:c r="K97" s="1"/>
      <x:c r="L97" s="1"/>
      <x:c r="M97" s="1"/>
      <x:c r="N97" s="1"/>
      <x:c r="O97" s="1"/>
      <x:c r="P97" s="1"/>
    </x:row>
    <x:row r="98">
      <x:c r="A98" s="1"/>
      <x:c r="B98" s="1"/>
      <x:c r="C98" s="1"/>
      <x:c r="D98" s="1"/>
      <x:c r="E98" s="1"/>
      <x:c r="F98" s="1"/>
      <x:c r="G98" s="1"/>
      <x:c r="H98" s="1"/>
      <x:c r="I98" s="1"/>
      <x:c r="J98" s="1"/>
      <x:c r="K98" s="1"/>
      <x:c r="L98" s="1"/>
      <x:c r="M98" s="1"/>
      <x:c r="N98" s="1"/>
      <x:c r="O98" s="1"/>
      <x:c r="P98" s="1"/>
    </x:row>
    <x:row r="99">
      <x:c r="A99" s="1"/>
      <x:c r="B99" s="1"/>
      <x:c r="C99" s="1"/>
      <x:c r="D99" s="1"/>
      <x:c r="E99" s="1"/>
      <x:c r="F99" s="1"/>
      <x:c r="G99" s="1"/>
      <x:c r="H99" s="1"/>
      <x:c r="I99" s="1"/>
      <x:c r="J99" s="1"/>
      <x:c r="K99" s="1"/>
      <x:c r="L99" s="1"/>
      <x:c r="M99" s="1"/>
      <x:c r="N99" s="1"/>
      <x:c r="O99" s="1"/>
      <x:c r="P99" s="1"/>
    </x:row>
    <x:row r="100">
      <x:c r="A100" s="1"/>
      <x:c r="B100" s="1"/>
      <x:c r="C100" s="1"/>
      <x:c r="D100" s="1"/>
      <x:c r="E100" s="1"/>
      <x:c r="F100" s="1"/>
      <x:c r="G100" s="1"/>
      <x:c r="H100" s="1"/>
      <x:c r="I100" s="1"/>
      <x:c r="J100" s="1"/>
      <x:c r="K100" s="1"/>
      <x:c r="L100" s="1"/>
      <x:c r="M100" s="1"/>
      <x:c r="N100" s="1"/>
      <x:c r="O100" s="1"/>
      <x:c r="P100" s="1"/>
    </x:row>
    <x:row r="101">
      <x:c r="A101" s="1"/>
      <x:c r="B101" s="1"/>
      <x:c r="C101" s="1"/>
      <x:c r="D101" s="1"/>
      <x:c r="E101" s="1"/>
      <x:c r="F101" s="1"/>
      <x:c r="G101" s="1"/>
      <x:c r="H101" s="1"/>
      <x:c r="I101" s="1"/>
      <x:c r="J101" s="1"/>
      <x:c r="K101" s="1"/>
      <x:c r="L101" s="1"/>
      <x:c r="M101" s="1"/>
      <x:c r="N101" s="1"/>
      <x:c r="O101" s="1"/>
      <x:c r="P101" s="1"/>
    </x:row>
    <x:row r="102">
      <x:c r="A102" s="1"/>
      <x:c r="B102" s="1"/>
      <x:c r="C102" s="1"/>
      <x:c r="D102" s="1"/>
      <x:c r="E102" s="1"/>
      <x:c r="F102" s="1"/>
      <x:c r="G102" s="1"/>
      <x:c r="H102" s="1"/>
      <x:c r="I102" s="1"/>
      <x:c r="J102" s="1"/>
      <x:c r="K102" s="1"/>
      <x:c r="L102" s="1"/>
      <x:c r="M102" s="1"/>
      <x:c r="N102" s="1"/>
      <x:c r="O102" s="1"/>
      <x:c r="P102" s="1"/>
    </x:row>
    <x:row r="103">
      <x:c r="A103" s="1"/>
      <x:c r="B103" s="1"/>
      <x:c r="C103" s="1"/>
      <x:c r="D103" s="1"/>
      <x:c r="E103" s="1"/>
      <x:c r="F103" s="1"/>
      <x:c r="G103" s="1"/>
      <x:c r="H103" s="1"/>
      <x:c r="I103" s="1"/>
      <x:c r="J103" s="1"/>
      <x:c r="K103" s="1"/>
      <x:c r="L103" s="1"/>
      <x:c r="M103" s="1"/>
      <x:c r="N103" s="1"/>
      <x:c r="O103" s="1"/>
      <x:c r="P103" s="1"/>
    </x:row>
    <x:row r="104">
      <x:c r="A104" s="1"/>
      <x:c r="B104" s="1"/>
      <x:c r="C104" s="1"/>
      <x:c r="D104" s="1"/>
      <x:c r="E104" s="1"/>
      <x:c r="F104" s="1"/>
      <x:c r="G104" s="1"/>
      <x:c r="H104" s="1"/>
      <x:c r="I104" s="1"/>
      <x:c r="J104" s="1"/>
      <x:c r="K104" s="1"/>
      <x:c r="L104" s="1"/>
      <x:c r="M104" s="1"/>
      <x:c r="N104" s="1"/>
      <x:c r="O104" s="1"/>
      <x:c r="P104" s="1"/>
    </x:row>
    <x:row r="105">
      <x:c r="A105" s="1"/>
      <x:c r="B105" s="1"/>
      <x:c r="C105" s="1"/>
      <x:c r="D105" s="1"/>
      <x:c r="E105" s="1"/>
      <x:c r="F105" s="1"/>
      <x:c r="G105" s="1"/>
      <x:c r="H105" s="1"/>
      <x:c r="I105" s="1"/>
      <x:c r="J105" s="1"/>
      <x:c r="K105" s="1"/>
      <x:c r="L105" s="1"/>
      <x:c r="M105" s="1"/>
      <x:c r="N105" s="1"/>
      <x:c r="O105" s="1"/>
      <x:c r="P105" s="1"/>
    </x:row>
    <x:row r="106">
      <x:c r="A106" s="1"/>
      <x:c r="B106" s="1"/>
      <x:c r="C106" s="1"/>
      <x:c r="D106" s="1"/>
      <x:c r="E106" s="1"/>
      <x:c r="F106" s="1"/>
      <x:c r="G106" s="1"/>
      <x:c r="H106" s="1"/>
      <x:c r="I106" s="1"/>
      <x:c r="J106" s="1"/>
      <x:c r="K106" s="1"/>
      <x:c r="L106" s="1"/>
      <x:c r="M106" s="1"/>
      <x:c r="N106" s="1"/>
      <x:c r="O106" s="1"/>
      <x:c r="P106" s="1"/>
    </x:row>
    <x:row r="107">
      <x:c r="A107" s="1"/>
      <x:c r="B107" s="1"/>
      <x:c r="C107" s="1"/>
      <x:c r="D107" s="1"/>
      <x:c r="E107" s="1"/>
      <x:c r="F107" s="1"/>
      <x:c r="G107" s="1"/>
      <x:c r="H107" s="1"/>
      <x:c r="I107" s="1"/>
      <x:c r="J107" s="1"/>
      <x:c r="K107" s="1"/>
      <x:c r="L107" s="1"/>
      <x:c r="M107" s="1"/>
      <x:c r="N107" s="1"/>
      <x:c r="O107" s="1"/>
      <x:c r="P107" s="1"/>
    </x:row>
    <x:row r="108">
      <x:c r="A108" s="1"/>
      <x:c r="B108" s="1"/>
      <x:c r="C108" s="1"/>
      <x:c r="D108" s="1"/>
      <x:c r="E108" s="1"/>
      <x:c r="F108" s="1"/>
      <x:c r="G108" s="1"/>
      <x:c r="H108" s="1"/>
      <x:c r="I108" s="1"/>
      <x:c r="J108" s="1"/>
      <x:c r="K108" s="1"/>
      <x:c r="L108" s="1"/>
      <x:c r="M108" s="1"/>
      <x:c r="N108" s="1"/>
      <x:c r="O108" s="1"/>
      <x:c r="P108" s="1"/>
    </x:row>
    <x:row r="109">
      <x:c r="A109" s="1"/>
      <x:c r="B109" s="1"/>
      <x:c r="C109" s="1"/>
      <x:c r="D109" s="1"/>
      <x:c r="E109" s="1"/>
      <x:c r="F109" s="1"/>
      <x:c r="G109" s="1"/>
      <x:c r="H109" s="1"/>
      <x:c r="I109" s="1"/>
      <x:c r="J109" s="1"/>
      <x:c r="K109" s="1"/>
      <x:c r="L109" s="1"/>
      <x:c r="M109" s="1"/>
      <x:c r="N109" s="1"/>
      <x:c r="O109" s="1"/>
      <x:c r="P109" s="1"/>
    </x:row>
    <x:row r="110">
      <x:c r="A110" s="1"/>
      <x:c r="B110" s="1"/>
      <x:c r="C110" s="1"/>
      <x:c r="D110" s="1"/>
      <x:c r="E110" s="1"/>
      <x:c r="F110" s="1"/>
      <x:c r="G110" s="1"/>
      <x:c r="H110" s="1"/>
      <x:c r="I110" s="1"/>
      <x:c r="J110" s="1"/>
      <x:c r="K110" s="1"/>
      <x:c r="L110" s="1"/>
      <x:c r="M110" s="1"/>
      <x:c r="N110" s="1"/>
      <x:c r="O110" s="1"/>
      <x:c r="P110" s="1"/>
    </x:row>
    <x:row r="111">
      <x:c r="A111" s="1"/>
      <x:c r="B111" s="1"/>
      <x:c r="C111" s="1"/>
      <x:c r="D111" s="1"/>
      <x:c r="E111" s="1"/>
      <x:c r="F111" s="1"/>
      <x:c r="G111" s="1"/>
      <x:c r="H111" s="1"/>
      <x:c r="I111" s="1"/>
      <x:c r="J111" s="1"/>
      <x:c r="K111" s="1"/>
      <x:c r="L111" s="1"/>
      <x:c r="M111" s="1"/>
      <x:c r="N111" s="1"/>
      <x:c r="O111" s="1"/>
      <x:c r="P111" s="1"/>
    </x:row>
    <x:row r="112">
      <x:c r="A112" s="1"/>
      <x:c r="B112" s="1"/>
      <x:c r="C112" s="1"/>
      <x:c r="D112" s="1"/>
      <x:c r="E112" s="1"/>
      <x:c r="F112" s="1"/>
      <x:c r="G112" s="1"/>
      <x:c r="H112" s="1"/>
      <x:c r="I112" s="1"/>
      <x:c r="J112" s="1"/>
      <x:c r="K112" s="1"/>
      <x:c r="L112" s="1"/>
      <x:c r="M112" s="1"/>
      <x:c r="N112" s="1"/>
      <x:c r="O112" s="1"/>
      <x:c r="P112" s="1"/>
    </x:row>
    <x:row r="113">
      <x:c r="A113" s="1"/>
      <x:c r="B113" s="1"/>
      <x:c r="C113" s="1"/>
      <x:c r="D113" s="1"/>
      <x:c r="E113" s="1"/>
      <x:c r="F113" s="1"/>
      <x:c r="G113" s="1"/>
      <x:c r="H113" s="1"/>
      <x:c r="I113" s="1"/>
      <x:c r="J113" s="1"/>
      <x:c r="K113" s="1"/>
      <x:c r="L113" s="1"/>
      <x:c r="M113" s="1"/>
      <x:c r="N113" s="1"/>
      <x:c r="O113" s="1"/>
      <x:c r="P113" s="1"/>
    </x:row>
    <x:row r="114">
      <x:c r="A114" s="1"/>
      <x:c r="B114" s="1"/>
      <x:c r="C114" s="1"/>
      <x:c r="D114" s="1"/>
      <x:c r="E114" s="1"/>
      <x:c r="F114" s="1"/>
      <x:c r="G114" s="1"/>
      <x:c r="H114" s="1"/>
      <x:c r="I114" s="1"/>
      <x:c r="J114" s="1"/>
      <x:c r="K114" s="1"/>
      <x:c r="L114" s="1"/>
      <x:c r="M114" s="1"/>
      <x:c r="N114" s="1"/>
      <x:c r="O114" s="1"/>
      <x:c r="P114" s="1"/>
    </x:row>
    <x:row r="115">
      <x:c r="A115" s="1"/>
      <x:c r="B115" s="1"/>
      <x:c r="C115" s="1"/>
      <x:c r="D115" s="1"/>
      <x:c r="E115" s="1"/>
      <x:c r="F115" s="1"/>
      <x:c r="G115" s="1"/>
      <x:c r="H115" s="1"/>
      <x:c r="I115" s="1"/>
      <x:c r="J115" s="1"/>
      <x:c r="K115" s="1"/>
      <x:c r="L115" s="1"/>
      <x:c r="M115" s="1"/>
      <x:c r="N115" s="1"/>
      <x:c r="O115" s="1"/>
      <x:c r="P115" s="1"/>
    </x:row>
    <x:row r="116">
      <x:c r="A116" s="1"/>
      <x:c r="B116" s="1"/>
      <x:c r="C116" s="1"/>
      <x:c r="D116" s="1"/>
      <x:c r="E116" s="1"/>
      <x:c r="F116" s="1"/>
      <x:c r="G116" s="1"/>
      <x:c r="H116" s="1"/>
      <x:c r="I116" s="1"/>
      <x:c r="J116" s="1"/>
      <x:c r="K116" s="1"/>
      <x:c r="L116" s="1"/>
      <x:c r="M116" s="1"/>
      <x:c r="N116" s="1"/>
      <x:c r="O116" s="1"/>
      <x:c r="P116" s="1"/>
    </x:row>
    <x:row r="117">
      <x:c r="A117" s="1"/>
      <x:c r="B117" s="1"/>
      <x:c r="C117" s="1"/>
      <x:c r="D117" s="1"/>
      <x:c r="E117" s="1"/>
      <x:c r="F117" s="1"/>
      <x:c r="G117" s="1"/>
      <x:c r="H117" s="1"/>
      <x:c r="I117" s="1"/>
      <x:c r="J117" s="1"/>
      <x:c r="K117" s="1"/>
      <x:c r="L117" s="1"/>
      <x:c r="M117" s="1"/>
      <x:c r="N117" s="1"/>
      <x:c r="O117" s="1"/>
      <x:c r="P117" s="1"/>
    </x:row>
    <x:row r="118">
      <x:c r="A118" s="1"/>
      <x:c r="B118" s="1"/>
      <x:c r="C118" s="1"/>
      <x:c r="D118" s="1"/>
      <x:c r="E118" s="1"/>
      <x:c r="F118" s="1"/>
      <x:c r="G118" s="1"/>
      <x:c r="H118" s="1"/>
      <x:c r="I118" s="1"/>
      <x:c r="J118" s="1"/>
      <x:c r="K118" s="1"/>
      <x:c r="L118" s="1"/>
      <x:c r="M118" s="1"/>
      <x:c r="N118" s="1"/>
      <x:c r="O118" s="1"/>
      <x:c r="P118" s="1"/>
    </x:row>
    <x:row r="119">
      <x:c r="A119" s="1"/>
      <x:c r="B119" s="1"/>
      <x:c r="C119" s="1"/>
      <x:c r="D119" s="1"/>
      <x:c r="E119" s="1"/>
      <x:c r="F119" s="1"/>
      <x:c r="G119" s="1"/>
      <x:c r="H119" s="1"/>
      <x:c r="I119" s="1"/>
      <x:c r="J119" s="1"/>
      <x:c r="K119" s="1"/>
      <x:c r="L119" s="1"/>
      <x:c r="M119" s="1"/>
      <x:c r="N119" s="1"/>
      <x:c r="O119" s="1"/>
      <x:c r="P119" s="1"/>
    </x:row>
    <x:row r="120">
      <x:c r="A120" s="1"/>
      <x:c r="B120" s="1"/>
      <x:c r="C120" s="1"/>
      <x:c r="D120" s="1"/>
      <x:c r="E120" s="1"/>
      <x:c r="F120" s="1"/>
      <x:c r="G120" s="1"/>
      <x:c r="H120" s="1"/>
      <x:c r="I120" s="1"/>
      <x:c r="J120" s="1"/>
      <x:c r="K120" s="1"/>
      <x:c r="L120" s="1"/>
      <x:c r="M120" s="1"/>
      <x:c r="N120" s="1"/>
      <x:c r="O120" s="1"/>
      <x:c r="P120" s="1"/>
    </x:row>
  </x:sheetData>
  <x:conditionalFormatting sqref="F2:F13">
    <x:cfRule type="cellIs" dxfId="2" priority="1" operator="lessThan">
      <x:formula>0</x:formula>
    </x:cfRule>
  </x:conditionalFormatting>
  <x:dataValidations count="1">
    <x:dataValidation type="list" sqref="Z2:Z13">
      <x:formula1>"draft,active,inactive"</x:formula1>
    </x:dataValidation>
  </x:dataValidations>
  <x:pageMargins left="0.7" right="0.7" top="0.75" bottom="0.75" header="0.3" footer="0.3"/>
  <x:tableParts count="1">
    <x:tablePart xmlns:r="http://schemas.openxmlformats.org/officeDocument/2006/relationships" r:id="R7d8273aa09614866"/>
  </x:tableParts>
</x:worksheet>
</file>

<file path=xl/worksheets/sheet8.xml><?xml version="1.0" encoding="utf-8"?>
<x:worksheet xmlns:x="http://schemas.openxmlformats.org/spreadsheetml/2006/main">
  <x:sheetFormatPr defaultRowHeight="14.25"/>
  <x:cols>
    <x:col min="1" max="2" width="16" customWidth="1"/>
    <x:col min="3" max="4" width="15" customWidth="1"/>
    <x:col min="5" max="5" width="10" customWidth="1"/>
    <x:col min="6" max="6" width="12" customWidth="1"/>
    <x:col min="7" max="7" width="10" hidden="0" customWidth="1"/>
    <x:col min="8" max="8" width="15" hidden="0" customWidth="1"/>
    <x:col min="9" max="9" width="15" hidden="0" customWidth="1"/>
    <x:col min="10" max="10" width="15" hidden="0" customWidth="1"/>
    <x:col min="11" max="11" width="13" hidden="0" customWidth="1"/>
    <x:col min="12" max="12" width="16" hidden="0" customWidth="1"/>
    <x:col min="13" max="13" width="38" hidden="0" customWidth="1"/>
  </x:cols>
  <x:sheetData>
    <x:row r="1" ht="15" customHeight="1">
      <x:c r="A1" s="4" t="s">
        <x:v>151</x:v>
      </x:c>
      <x:c r="B1" s="4" t="s">
        <x:v>141</x:v>
      </x:c>
      <x:c r="C1" s="4" t="s">
        <x:v>206</x:v>
      </x:c>
      <x:c r="D1" s="4" t="s">
        <x:v>207</x:v>
      </x:c>
      <x:c r="E1" s="4" t="s">
        <x:v>208</x:v>
      </x:c>
      <x:c r="F1" s="4" t="s">
        <x:v>157</x:v>
      </x:c>
      <x:c r="G1" s="126" t="str">
        <x:v>currency</x:v>
      </x:c>
      <x:c r="H1" s="126" t="str">
        <x:v>adult_price</x:v>
      </x:c>
      <x:c r="I1" s="126" t="str">
        <x:v>child_price</x:v>
      </x:c>
      <x:c r="J1" s="126" t="str">
        <x:v>infant_price</x:v>
      </x:c>
      <x:c r="K1" s="126" t="str">
        <x:v>deposit_rate</x:v>
      </x:c>
      <x:c r="L1" s="126" t="str">
        <x:v>deposit_amount</x:v>
      </x:c>
      <x:c r="M1" s="126" t="str">
        <x:v>price_note</x:v>
      </x:c>
    </x:row>
    <x:row r="2" ht="15" customHeight="1">
      <x:c r="A2" s="2" t="s">
        <x:v>164</x:v>
      </x:c>
      <x:c r="B2" s="2" t="s">
        <x:v>147</x:v>
      </x:c>
      <x:c r="C2" s="26">
        <x:v>2490000</x:v>
      </x:c>
      <x:c r="D2" s="26">
        <x:v>2830000</x:v>
      </x:c>
      <x:c r="E2" s="6">
        <x:v>4.75</x:v>
      </x:c>
      <x:c r="F2" s="27">
        <x:v>126</x:v>
      </x:c>
      <x:c r="G2" s="127" t="str">
        <x:v>VND</x:v>
      </x:c>
      <x:c r="H2" s="128" t="n">
        <x:f>C2</x:f>
        <x:v>2490000</x:v>
      </x:c>
      <x:c r="I2" s="128" t="n">
        <x:f>ROUND(C2*75%,-3)</x:f>
        <x:v>1868000</x:v>
      </x:c>
      <x:c r="J2" s="128" t="n">
        <x:v>0</x:v>
      </x:c>
      <x:c r="K2" s="129" t="n">
        <x:v>0.3</x:v>
      </x:c>
      <x:c r="L2" s="128" t="n">
        <x:f>ROUND(H2*K2,-3)</x:f>
        <x:v>747000</x:v>
      </x:c>
      <x:c r="M2" s="127" t="str">
        <x:v>Giá từ/người lớn; trẻ em 2–11 tuổi tính theo chính sách</x:v>
      </x:c>
    </x:row>
    <x:row r="3" ht="15" customHeight="1">
      <x:c r="A3" s="2" t="s">
        <x:v>173</x:v>
      </x:c>
      <x:c r="B3" s="2" t="s">
        <x:v>147</x:v>
      </x:c>
      <x:c r="C3" s="26">
        <x:v>2690000</x:v>
      </x:c>
      <x:c r="D3" s="26">
        <x:v>2924000</x:v>
      </x:c>
      <x:c r="E3" s="6">
        <x:v>4.68</x:v>
      </x:c>
      <x:c r="F3" s="27">
        <x:v>98</x:v>
      </x:c>
      <x:c r="G3" s="127" t="str">
        <x:v>VND</x:v>
      </x:c>
      <x:c r="H3" s="128" t="n">
        <x:f>C3</x:f>
        <x:v>2690000</x:v>
      </x:c>
      <x:c r="I3" s="128" t="n">
        <x:f>ROUND(C3*75%,-3)</x:f>
        <x:v>2018000</x:v>
      </x:c>
      <x:c r="J3" s="128" t="n">
        <x:v>0</x:v>
      </x:c>
      <x:c r="K3" s="129" t="n">
        <x:v>0.3</x:v>
      </x:c>
      <x:c r="L3" s="128" t="n">
        <x:f>ROUND(H3*K3,-3)</x:f>
        <x:v>807000</x:v>
      </x:c>
      <x:c r="M3" s="127" t="str">
        <x:v>Giá từ/người lớn; trẻ em 2–11 tuổi tính theo chính sách</x:v>
      </x:c>
    </x:row>
    <x:row r="4" ht="15" customHeight="1">
      <x:c r="A4" s="2" t="s">
        <x:v>176</x:v>
      </x:c>
      <x:c r="B4" s="2" t="s">
        <x:v>147</x:v>
      </x:c>
      <x:c r="C4" s="26">
        <x:v>890000</x:v>
      </x:c>
      <x:c r="D4" s="26">
        <x:v>937000</x:v>
      </x:c>
      <x:c r="E4" s="6">
        <x:v>4.55</x:v>
      </x:c>
      <x:c r="F4" s="27">
        <x:v>84</x:v>
      </x:c>
      <x:c r="G4" s="127" t="str">
        <x:v>VND</x:v>
      </x:c>
      <x:c r="H4" s="128" t="n">
        <x:f>C4</x:f>
        <x:v>890000</x:v>
      </x:c>
      <x:c r="I4" s="128" t="n">
        <x:f>ROUND(C4*75%,-3)</x:f>
        <x:v>668000</x:v>
      </x:c>
      <x:c r="J4" s="128" t="n">
        <x:v>0</x:v>
      </x:c>
      <x:c r="K4" s="129" t="n">
        <x:v>0.3</x:v>
      </x:c>
      <x:c r="L4" s="128" t="n">
        <x:f>ROUND(H4*K4,-3)</x:f>
        <x:v>267000</x:v>
      </x:c>
      <x:c r="M4" s="127" t="str">
        <x:v>Giá từ/người lớn; trẻ em 2–11 tuổi tính theo chính sách</x:v>
      </x:c>
    </x:row>
    <x:row r="5" ht="15" customHeight="1">
      <x:c r="A5" s="2" t="s">
        <x:v>179</x:v>
      </x:c>
      <x:c r="B5" s="2" t="s">
        <x:v>147</x:v>
      </x:c>
      <x:c r="C5" s="26">
        <x:v>4590000</x:v>
      </x:c>
      <x:c r="D5" s="26">
        <x:v>5100000</x:v>
      </x:c>
      <x:c r="E5" s="6">
        <x:v>4.7</x:v>
      </x:c>
      <x:c r="F5" s="27">
        <x:v>112</x:v>
      </x:c>
      <x:c r="G5" s="127" t="str">
        <x:v>VND</x:v>
      </x:c>
      <x:c r="H5" s="128" t="n">
        <x:f>C5</x:f>
        <x:v>4590000</x:v>
      </x:c>
      <x:c r="I5" s="128" t="n">
        <x:f>ROUND(C5*75%,-3)</x:f>
        <x:v>3443000</x:v>
      </x:c>
      <x:c r="J5" s="128" t="n">
        <x:v>0</x:v>
      </x:c>
      <x:c r="K5" s="129" t="n">
        <x:v>0.3</x:v>
      </x:c>
      <x:c r="L5" s="128" t="n">
        <x:f>ROUND(H5*K5,-3)</x:f>
        <x:v>1377000</x:v>
      </x:c>
      <x:c r="M5" s="127" t="str">
        <x:v>Giá từ/người lớn; trẻ em 2–11 tuổi tính theo chính sách</x:v>
      </x:c>
    </x:row>
    <x:row r="6" ht="15" customHeight="1">
      <x:c r="A6" s="2" t="s">
        <x:v>182</x:v>
      </x:c>
      <x:c r="B6" s="2" t="s">
        <x:v>149</x:v>
      </x:c>
      <x:c r="C6" s="26">
        <x:v>790000</x:v>
      </x:c>
      <x:c r="D6" s="26">
        <x:v>849000</x:v>
      </x:c>
      <x:c r="E6" s="6">
        <x:v>4.82</x:v>
      </x:c>
      <x:c r="F6" s="27">
        <x:v>156</x:v>
      </x:c>
      <x:c r="G6" s="127" t="str">
        <x:v>VND</x:v>
      </x:c>
      <x:c r="H6" s="128" t="n">
        <x:f>C6</x:f>
        <x:v>790000</x:v>
      </x:c>
      <x:c r="I6" s="128" t="n">
        <x:f>ROUND(C6*75%,-3)</x:f>
        <x:v>593000</x:v>
      </x:c>
      <x:c r="J6" s="128" t="n">
        <x:v>0</x:v>
      </x:c>
      <x:c r="K6" s="129" t="n">
        <x:v>0.3</x:v>
      </x:c>
      <x:c r="L6" s="128" t="n">
        <x:f>ROUND(H6*K6,-3)</x:f>
        <x:v>237000</x:v>
      </x:c>
      <x:c r="M6" s="127" t="str">
        <x:v>Giá từ/người lớn; trẻ em 2–11 tuổi tính theo chính sách</x:v>
      </x:c>
    </x:row>
    <x:row r="7" ht="15" customHeight="1">
      <x:c r="A7" s="2" t="s">
        <x:v>185</x:v>
      </x:c>
      <x:c r="B7" s="2" t="s">
        <x:v>149</x:v>
      </x:c>
      <x:c r="C7" s="26">
        <x:v>2590000</x:v>
      </x:c>
      <x:c r="D7" s="26">
        <x:v>2846000</x:v>
      </x:c>
      <x:c r="E7" s="6">
        <x:v>4.7300000000000004</x:v>
      </x:c>
      <x:c r="F7" s="27">
        <x:v>134</x:v>
      </x:c>
      <x:c r="G7" s="127" t="str">
        <x:v>VND</x:v>
      </x:c>
      <x:c r="H7" s="128" t="n">
        <x:f>C7</x:f>
        <x:v>2590000</x:v>
      </x:c>
      <x:c r="I7" s="128" t="n">
        <x:f>ROUND(C7*75%,-3)</x:f>
        <x:v>1943000</x:v>
      </x:c>
      <x:c r="J7" s="128" t="n">
        <x:v>0</x:v>
      </x:c>
      <x:c r="K7" s="129" t="n">
        <x:v>0.3</x:v>
      </x:c>
      <x:c r="L7" s="128" t="n">
        <x:f>ROUND(H7*K7,-3)</x:f>
        <x:v>777000</x:v>
      </x:c>
      <x:c r="M7" s="127" t="str">
        <x:v>Giá từ/người lớn; trẻ em 2–11 tuổi tính theo chính sách</x:v>
      </x:c>
    </x:row>
    <x:row r="8" ht="15" customHeight="1">
      <x:c r="A8" s="2" t="s">
        <x:v>188</x:v>
      </x:c>
      <x:c r="B8" s="2" t="s">
        <x:v>149</x:v>
      </x:c>
      <x:c r="C8" s="26">
        <x:v>2790000</x:v>
      </x:c>
      <x:c r="D8" s="26">
        <x:v>3135000</x:v>
      </x:c>
      <x:c r="E8" s="6">
        <x:v>4.78</x:v>
      </x:c>
      <x:c r="F8" s="27">
        <x:v>149</x:v>
      </x:c>
      <x:c r="G8" s="127" t="str">
        <x:v>VND</x:v>
      </x:c>
      <x:c r="H8" s="128" t="n">
        <x:f>C8</x:f>
        <x:v>2790000</x:v>
      </x:c>
      <x:c r="I8" s="128" t="n">
        <x:f>ROUND(C8*75%,-3)</x:f>
        <x:v>2093000</x:v>
      </x:c>
      <x:c r="J8" s="128" t="n">
        <x:v>0</x:v>
      </x:c>
      <x:c r="K8" s="129" t="n">
        <x:v>0.3</x:v>
      </x:c>
      <x:c r="L8" s="128" t="n">
        <x:f>ROUND(H8*K8,-3)</x:f>
        <x:v>837000</x:v>
      </x:c>
      <x:c r="M8" s="127" t="str">
        <x:v>Giá từ/người lớn; trẻ em 2–11 tuổi tính theo chính sách</x:v>
      </x:c>
    </x:row>
    <x:row r="9" ht="15" customHeight="1">
      <x:c r="A9" s="2" t="s">
        <x:v>191</x:v>
      </x:c>
      <x:c r="B9" s="2" t="s">
        <x:v>149</x:v>
      </x:c>
      <x:c r="C9" s="26">
        <x:v>2490000</x:v>
      </x:c>
      <x:c r="D9" s="26">
        <x:v>2649000</x:v>
      </x:c>
      <x:c r="E9" s="6">
        <x:v>4.5999999999999996</x:v>
      </x:c>
      <x:c r="F9" s="27">
        <x:v>101</x:v>
      </x:c>
      <x:c r="G9" s="127" t="str">
        <x:v>VND</x:v>
      </x:c>
      <x:c r="H9" s="128" t="n">
        <x:f>C9</x:f>
        <x:v>2490000</x:v>
      </x:c>
      <x:c r="I9" s="128" t="n">
        <x:f>ROUND(C9*75%,-3)</x:f>
        <x:v>1868000</x:v>
      </x:c>
      <x:c r="J9" s="128" t="n">
        <x:v>0</x:v>
      </x:c>
      <x:c r="K9" s="129" t="n">
        <x:v>0.3</x:v>
      </x:c>
      <x:c r="L9" s="128" t="n">
        <x:f>ROUND(H9*K9,-3)</x:f>
        <x:v>747000</x:v>
      </x:c>
      <x:c r="M9" s="127" t="str">
        <x:v>Giá từ/người lớn; trẻ em 2–11 tuổi tính theo chính sách</x:v>
      </x:c>
    </x:row>
    <x:row r="10" ht="15" customHeight="1">
      <x:c r="A10" s="2" t="s">
        <x:v>194</x:v>
      </x:c>
      <x:c r="B10" s="2" t="s">
        <x:v>150</x:v>
      </x:c>
      <x:c r="C10" s="26">
        <x:v>2990000</x:v>
      </x:c>
      <x:c r="D10" s="26">
        <x:v>3322000</x:v>
      </x:c>
      <x:c r="E10" s="6">
        <x:v>4.8099999999999996</x:v>
      </x:c>
      <x:c r="F10" s="27">
        <x:v>178</x:v>
      </x:c>
      <x:c r="G10" s="127" t="str">
        <x:v>VND</x:v>
      </x:c>
      <x:c r="H10" s="128" t="n">
        <x:f>C10</x:f>
        <x:v>2990000</x:v>
      </x:c>
      <x:c r="I10" s="128" t="n">
        <x:f>ROUND(C10*75%,-3)</x:f>
        <x:v>2243000</x:v>
      </x:c>
      <x:c r="J10" s="128" t="n">
        <x:v>0</x:v>
      </x:c>
      <x:c r="K10" s="129" t="n">
        <x:v>0.3</x:v>
      </x:c>
      <x:c r="L10" s="128" t="n">
        <x:f>ROUND(H10*K10,-3)</x:f>
        <x:v>897000</x:v>
      </x:c>
      <x:c r="M10" s="127" t="str">
        <x:v>Giá từ/người lớn; trẻ em 2–11 tuổi tính theo chính sách</x:v>
      </x:c>
    </x:row>
    <x:row r="11" ht="15" customHeight="1">
      <x:c r="A11" s="2" t="s">
        <x:v>197</x:v>
      </x:c>
      <x:c r="B11" s="2" t="s">
        <x:v>150</x:v>
      </x:c>
      <x:c r="C11" s="26">
        <x:v>1590000</x:v>
      </x:c>
      <x:c r="D11" s="26">
        <x:v>1728000</x:v>
      </x:c>
      <x:c r="E11" s="6">
        <x:v>4.66</x:v>
      </x:c>
      <x:c r="F11" s="27">
        <x:v>203</x:v>
      </x:c>
      <x:c r="G11" s="127" t="str">
        <x:v>VND</x:v>
      </x:c>
      <x:c r="H11" s="128" t="n">
        <x:f>C11</x:f>
        <x:v>1590000</x:v>
      </x:c>
      <x:c r="I11" s="128" t="n">
        <x:f>ROUND(C11*75%,-3)</x:f>
        <x:v>1193000</x:v>
      </x:c>
      <x:c r="J11" s="128" t="n">
        <x:v>0</x:v>
      </x:c>
      <x:c r="K11" s="129" t="n">
        <x:v>0.3</x:v>
      </x:c>
      <x:c r="L11" s="128" t="n">
        <x:f>ROUND(H11*K11,-3)</x:f>
        <x:v>477000</x:v>
      </x:c>
      <x:c r="M11" s="127" t="str">
        <x:v>Giá từ/người lớn; trẻ em 2–11 tuổi tính theo chính sách</x:v>
      </x:c>
    </x:row>
    <x:row r="12" ht="15" customHeight="1">
      <x:c r="A12" s="2" t="s">
        <x:v>200</x:v>
      </x:c>
      <x:c r="B12" s="2" t="s">
        <x:v>150</x:v>
      </x:c>
      <x:c r="C12" s="26">
        <x:v>3290000</x:v>
      </x:c>
      <x:c r="D12" s="26">
        <x:v>3739000</x:v>
      </x:c>
      <x:c r="E12" s="6">
        <x:v>4.88</x:v>
      </x:c>
      <x:c r="F12" s="27">
        <x:v>221</x:v>
      </x:c>
      <x:c r="G12" s="127" t="str">
        <x:v>VND</x:v>
      </x:c>
      <x:c r="H12" s="128" t="n">
        <x:f>C12</x:f>
        <x:v>3290000</x:v>
      </x:c>
      <x:c r="I12" s="128" t="n">
        <x:f>ROUND(C12*75%,-3)</x:f>
        <x:v>2468000</x:v>
      </x:c>
      <x:c r="J12" s="128" t="n">
        <x:v>0</x:v>
      </x:c>
      <x:c r="K12" s="129" t="n">
        <x:v>0.3</x:v>
      </x:c>
      <x:c r="L12" s="128" t="n">
        <x:f>ROUND(H12*K12,-3)</x:f>
        <x:v>987000</x:v>
      </x:c>
      <x:c r="M12" s="127" t="str">
        <x:v>Giá từ/người lớn; trẻ em 2–11 tuổi tính theo chính sách</x:v>
      </x:c>
    </x:row>
    <x:row r="13" ht="15" customHeight="1">
      <x:c r="A13" s="2" t="s">
        <x:v>203</x:v>
      </x:c>
      <x:c r="B13" s="2" t="s">
        <x:v>150</x:v>
      </x:c>
      <x:c r="C13" s="26">
        <x:v>5790000</x:v>
      </x:c>
      <x:c r="D13" s="26">
        <x:v>6433000</x:v>
      </x:c>
      <x:c r="E13" s="6">
        <x:v>4.76</x:v>
      </x:c>
      <x:c r="F13" s="27">
        <x:v>167</x:v>
      </x:c>
      <x:c r="G13" s="127" t="str">
        <x:v>VND</x:v>
      </x:c>
      <x:c r="H13" s="128" t="n">
        <x:f>C13</x:f>
        <x:v>5790000</x:v>
      </x:c>
      <x:c r="I13" s="128" t="n">
        <x:f>ROUND(C13*75%,-3)</x:f>
        <x:v>4343000</x:v>
      </x:c>
      <x:c r="J13" s="128" t="n">
        <x:v>0</x:v>
      </x:c>
      <x:c r="K13" s="129" t="n">
        <x:v>0.3</x:v>
      </x:c>
      <x:c r="L13" s="128" t="n">
        <x:f>ROUND(H13*K13,-3)</x:f>
        <x:v>1737000</x:v>
      </x:c>
      <x:c r="M13" s="127" t="str">
        <x:v>Giá từ/người lớn; trẻ em 2–11 tuổi tính theo chính sách</x:v>
      </x:c>
    </x:row>
  </x:sheetData>
  <x:pageMargins left="0.7" right="0.7" top="0.75" bottom="0.75" header="0.3" footer="0.3"/>
  <x:tableParts count="1">
    <x:tablePart xmlns:r="http://schemas.openxmlformats.org/officeDocument/2006/relationships" r:id="R9f5c36dcc0a940c6"/>
  </x:tableParts>
</x:worksheet>
</file>

<file path=xl/worksheets/sheet9.xml><?xml version="1.0" encoding="utf-8"?>
<x:worksheet xmlns:x="http://schemas.openxmlformats.org/spreadsheetml/2006/main">
  <x:sheetFormatPr defaultRowHeight="14.25"/>
  <x:cols>
    <x:col min="1" max="2" width="16" customWidth="1"/>
    <x:col min="3" max="3" width="34" customWidth="1"/>
    <x:col min="4" max="5" width="14" customWidth="1"/>
    <x:col min="6" max="6" width="22" customWidth="1"/>
    <x:col min="7" max="7" width="12" customWidth="1"/>
    <x:col min="8" max="8" width="48" hidden="0" customWidth="1"/>
    <x:col min="9" max="9" width="18" hidden="0" customWidth="1"/>
    <x:col min="10" max="10" width="12" customWidth="1"/>
    <x:col min="11" max="11" width="34" customWidth="1"/>
    <x:col min="12" max="12" width="52" customWidth="1"/>
    <x:col min="13" max="13" width="38" customWidth="1"/>
    <x:col min="14" max="14" width="18" customWidth="1"/>
    <x:col min="15" max="17" width="20" customWidth="1"/>
    <x:col min="18" max="18" width="22" customWidth="1"/>
    <x:col min="19" max="19" width="28" customWidth="1"/>
    <x:col min="20" max="20" width="24" customWidth="1"/>
    <x:col min="21" max="21" width="42" customWidth="1"/>
    <x:col min="22" max="22" width="45" hidden="0" customWidth="1"/>
  </x:cols>
  <x:sheetData>
    <x:row r="1" ht="36" customHeight="1">
      <x:c r="A1" s="4" t="s">
        <x:v>209</x:v>
      </x:c>
      <x:c r="B1" s="4" t="s">
        <x:v>133</x:v>
      </x:c>
      <x:c r="C1" s="4" t="s">
        <x:v>210</x:v>
      </x:c>
      <x:c r="D1" s="4" t="s">
        <x:v>211</x:v>
      </x:c>
      <x:c r="E1" s="4" t="s">
        <x:v>206</x:v>
      </x:c>
      <x:c r="F1" s="4" t="s">
        <x:v>18</x:v>
      </x:c>
      <x:c r="G1" s="4" t="s">
        <x:v>155</x:v>
      </x:c>
      <x:c r="H1" s="90" t="s">
        <x:v>144</x:v>
      </x:c>
      <x:c r="I1" s="90" t="s">
        <x:v>145</x:v>
      </x:c>
      <x:c r="J1" s="4" t="s">
        <x:v>208</x:v>
      </x:c>
      <x:c r="K1" s="4" t="s">
        <x:v>212</x:v>
      </x:c>
      <x:c r="L1" s="4" t="s">
        <x:v>213</x:v>
      </x:c>
      <x:c r="M1" s="4" t="s">
        <x:v>214</x:v>
      </x:c>
      <x:c r="N1" s="4" t="s">
        <x:v>215</x:v>
      </x:c>
      <x:c r="O1" s="4" t="s">
        <x:v>216</x:v>
      </x:c>
      <x:c r="P1" s="4" t="s">
        <x:v>217</x:v>
      </x:c>
      <x:c r="Q1" s="4" t="s">
        <x:v>218</x:v>
      </x:c>
      <x:c r="R1" s="4" t="s">
        <x:v>158</x:v>
      </x:c>
      <x:c r="S1" s="4" t="s">
        <x:v>160</x:v>
      </x:c>
      <x:c r="T1" s="4" t="s">
        <x:v>161</x:v>
      </x:c>
      <x:c r="U1" s="4" t="s">
        <x:v>162</x:v>
      </x:c>
      <x:c r="V1" s="207" t="str">
        <x:v>original_image_url</x:v>
      </x:c>
    </x:row>
    <x:row r="2" ht="15" customHeight="1">
      <x:c r="A2" s="16" t="s">
        <x:v>219</x:v>
      </x:c>
      <x:c r="B2" s="16" t="s">
        <x:v>135</x:v>
      </x:c>
      <x:c r="C2" s="16" t="s">
        <x:v>220</x:v>
      </x:c>
      <x:c r="D2" s="16" t="s">
        <x:v>221</x:v>
      </x:c>
      <x:c r="E2" s="28">
        <x:v>60000</x:v>
      </x:c>
      <x:c r="F2" s="16" t="s">
        <x:v>22</x:v>
      </x:c>
      <x:c r="G2" s="17">
        <x:v>-1.2</x:v>
      </x:c>
      <x:c r="H2" s="106" t="str">
        <x:v>/image/tours/phu-yen-bai-da-ven-bien-01.jpg</x:v>
      </x:c>
      <x:c r="I2" s="107"/>
      <x:c r="J2" s="114">
        <x:v>4.8</x:v>
      </x:c>
      <x:c r="K2" s="106">
        <x:v>232</x:v>
      </x:c>
      <x:c r="L2" s="106" t="s">
        <x:v>222</x:v>
      </x:c>
      <x:c r="M2" s="106" t="s">
        <x:v>223</x:v>
      </x:c>
      <x:c r="N2" s="106" t="s">
        <x:v>224</x:v>
      </x:c>
      <x:c r="O2" s="107">
        <x:v>3.43</x:v>
      </x:c>
      <x:c r="P2" s="107">
        <x:v>0.6</x:v>
      </x:c>
      <x:c r="Q2" s="110">
        <x:v>0.25</x:v>
      </x:c>
      <x:c r="R2" s="106" t="s">
        <x:v>225</x:v>
      </x:c>
      <x:c r="S2" s="106" t="s">
        <x:v>226</x:v>
      </x:c>
      <x:c r="T2" s="106" t="s">
        <x:v>227</x:v>
      </x:c>
      <x:c r="U2" s="106" t="s">
        <x:v>228</x:v>
      </x:c>
      <x:c r="V2" s="93" t="str">
        <x:v>https://i.pinimg.com/736x/60/9c/ef/609cefb4e490debd1ea140b6e21be7bc.jpg</x:v>
      </x:c>
    </x:row>
    <x:row r="3" ht="15" customHeight="1">
      <x:c r="A3" s="18" t="s">
        <x:v>229</x:v>
      </x:c>
      <x:c r="B3" s="18" t="s">
        <x:v>135</x:v>
      </x:c>
      <x:c r="C3" s="18" t="s">
        <x:v>230</x:v>
      </x:c>
      <x:c r="D3" s="18" t="s">
        <x:v>231</x:v>
      </x:c>
      <x:c r="E3" s="29">
        <x:v>220000</x:v>
      </x:c>
      <x:c r="F3" s="18" t="s">
        <x:v>22</x:v>
      </x:c>
      <x:c r="G3" s="19">
        <x:v>-0.8</x:v>
      </x:c>
      <x:c r="H3" s="108" t="str">
        <x:v>/image/tours/phu-yen-canh-quan-xanh-01.jpg</x:v>
      </x:c>
      <x:c r="I3" s="109"/>
      <x:c r="J3" s="115">
        <x:v>4.72</x:v>
      </x:c>
      <x:c r="K3" s="108">
        <x:v>181</x:v>
      </x:c>
      <x:c r="L3" s="108" t="s">
        <x:v>232</x:v>
      </x:c>
      <x:c r="M3" s="108" t="s">
        <x:v>233</x:v>
      </x:c>
      <x:c r="N3" s="108" t="s">
        <x:v>234</x:v>
      </x:c>
      <x:c r="O3" s="109">
        <x:v>1.6</x:v>
      </x:c>
      <x:c r="P3" s="109">
        <x:v>1.5</x:v>
      </x:c>
      <x:c r="Q3" s="111">
        <x:v>1</x:v>
      </x:c>
      <x:c r="R3" s="108" t="s">
        <x:v>235</x:v>
      </x:c>
      <x:c r="S3" s="108" t="s">
        <x:v>236</x:v>
      </x:c>
      <x:c r="T3" s="108" t="s">
        <x:v>227</x:v>
      </x:c>
      <x:c r="U3" s="108" t="s">
        <x:v>237</x:v>
      </x:c>
      <x:c r="V3" s="93" t="str">
        <x:v>https://i.pinimg.com/1200x/c9/81/68/c9816838986e252b85aab71a13f07d8d.jpg</x:v>
      </x:c>
    </x:row>
    <x:row r="4" ht="15" customHeight="1">
      <x:c r="A4" s="16" t="s">
        <x:v>238</x:v>
      </x:c>
      <x:c r="B4" s="16" t="s">
        <x:v>135</x:v>
      </x:c>
      <x:c r="C4" s="16" t="s">
        <x:v>239</x:v>
      </x:c>
      <x:c r="D4" s="16" t="s">
        <x:v>221</x:v>
      </x:c>
      <x:c r="E4" s="28">
        <x:v>50000</x:v>
      </x:c>
      <x:c r="F4" s="16" t="s">
        <x:v>22</x:v>
      </x:c>
      <x:c r="G4" s="17">
        <x:v>-1</x:v>
      </x:c>
      <x:c r="H4" s="106" t="str">
        <x:v>/image/tours/phu-yen-mui-dien-bai-mon-01.jpg</x:v>
      </x:c>
      <x:c r="I4" s="107"/>
      <x:c r="J4" s="114">
        <x:v>4.7</x:v>
      </x:c>
      <x:c r="K4" s="106">
        <x:v>204</x:v>
      </x:c>
      <x:c r="L4" s="106" t="s">
        <x:v>240</x:v>
      </x:c>
      <x:c r="M4" s="106" t="s">
        <x:v>223</x:v>
      </x:c>
      <x:c r="N4" s="106" t="s">
        <x:v>224</x:v>
      </x:c>
      <x:c r="O4" s="107">
        <x:v>2.86</x:v>
      </x:c>
      <x:c r="P4" s="107">
        <x:v>0.6</x:v>
      </x:c>
      <x:c r="Q4" s="110">
        <x:v>0.25</x:v>
      </x:c>
      <x:c r="R4" s="106" t="s">
        <x:v>225</x:v>
      </x:c>
      <x:c r="S4" s="106" t="s">
        <x:v>226</x:v>
      </x:c>
      <x:c r="T4" s="106" t="s">
        <x:v>227</x:v>
      </x:c>
      <x:c r="U4" s="106" t="s">
        <x:v>228</x:v>
      </x:c>
      <x:c r="V4" s="93" t="str">
        <x:v>https://i.pinimg.com/1200x/a4/54/5a/a4545a58170747ef18d15a28d465bc13.jpg</x:v>
      </x:c>
    </x:row>
    <x:row r="5" ht="15" customHeight="1">
      <x:c r="A5" s="18" t="s">
        <x:v>241</x:v>
      </x:c>
      <x:c r="B5" s="18" t="s">
        <x:v>135</x:v>
      </x:c>
      <x:c r="C5" s="18" t="s">
        <x:v>242</x:v>
      </x:c>
      <x:c r="D5" s="18" t="s">
        <x:v>221</x:v>
      </x:c>
      <x:c r="E5" s="29">
        <x:v>45000</x:v>
      </x:c>
      <x:c r="F5" s="18" t="s">
        <x:v>22</x:v>
      </x:c>
      <x:c r="G5" s="19">
        <x:v>-1.1000000000000001</x:v>
      </x:c>
      <x:c r="H5" s="108" t="str">
        <x:v>/image/tours/phu-yen-bai-xep-checkin-01.jpg</x:v>
      </x:c>
      <x:c r="I5" s="109"/>
      <x:c r="J5" s="115">
        <x:v>4.58</x:v>
      </x:c>
      <x:c r="K5" s="108">
        <x:v>145</x:v>
      </x:c>
      <x:c r="L5" s="108" t="s">
        <x:v>243</x:v>
      </x:c>
      <x:c r="M5" s="108" t="s">
        <x:v>244</x:v>
      </x:c>
      <x:c r="N5" s="108" t="s">
        <x:v>245</x:v>
      </x:c>
      <x:c r="O5" s="109">
        <x:v>6.43</x:v>
      </x:c>
      <x:c r="P5" s="109">
        <x:v>0.17100000000000001</x:v>
      </x:c>
      <x:c r="Q5" s="111">
        <x:v>0</x:v>
      </x:c>
      <x:c r="R5" s="108" t="s">
        <x:v>246</x:v>
      </x:c>
      <x:c r="S5" s="108" t="s">
        <x:v>247</x:v>
      </x:c>
      <x:c r="T5" s="108" t="s">
        <x:v>248</x:v>
      </x:c>
      <x:c r="U5" s="108" t="s">
        <x:v>249</x:v>
      </x:c>
      <x:c r="V5" s="93" t="str">
        <x:v>https://i.pinimg.com/1200x/9b/43/5f/9b435f463cb84aa6065b3c0c44eec4cc.jpg</x:v>
      </x:c>
    </x:row>
    <x:row r="6" ht="15" customHeight="1">
      <x:c r="A6" s="16" t="s">
        <x:v>250</x:v>
      </x:c>
      <x:c r="B6" s="16" t="s">
        <x:v>135</x:v>
      </x:c>
      <x:c r="C6" s="16" t="s">
        <x:v>251</x:v>
      </x:c>
      <x:c r="D6" s="16" t="s">
        <x:v>221</x:v>
      </x:c>
      <x:c r="E6" s="28">
        <x:v>120000</x:v>
      </x:c>
      <x:c r="F6" s="16" t="s">
        <x:v>22</x:v>
      </x:c>
      <x:c r="G6" s="17">
        <x:v>-1.7</x:v>
      </x:c>
      <x:c r="H6" s="106" t="str">
        <x:v>/image/tours/phu-yen-bien-trong-01.jpg</x:v>
      </x:c>
      <x:c r="I6" s="107"/>
      <x:c r="J6" s="114">
        <x:v>4.67</x:v>
      </x:c>
      <x:c r="K6" s="106">
        <x:v>96</x:v>
      </x:c>
      <x:c r="L6" s="106" t="s">
        <x:v>252</x:v>
      </x:c>
      <x:c r="M6" s="106" t="s">
        <x:v>223</x:v>
      </x:c>
      <x:c r="N6" s="106" t="s">
        <x:v>224</x:v>
      </x:c>
      <x:c r="O6" s="107">
        <x:v>4.8600000000000003</x:v>
      </x:c>
      <x:c r="P6" s="107">
        <x:v>0.6</x:v>
      </x:c>
      <x:c r="Q6" s="110">
        <x:v>0.25</x:v>
      </x:c>
      <x:c r="R6" s="106" t="s">
        <x:v>225</x:v>
      </x:c>
      <x:c r="S6" s="106" t="s">
        <x:v>226</x:v>
      </x:c>
      <x:c r="T6" s="106" t="s">
        <x:v>227</x:v>
      </x:c>
      <x:c r="U6" s="106" t="s">
        <x:v>228</x:v>
      </x:c>
      <x:c r="V6" s="93" t="str">
        <x:v>https://i.pinimg.com/736x/3f/87/0e/3f870eb589c0b29dd95402a8acf8cf25.jpg</x:v>
      </x:c>
    </x:row>
    <x:row r="7" ht="15" customHeight="1">
      <x:c r="A7" s="18" t="s">
        <x:v>253</x:v>
      </x:c>
      <x:c r="B7" s="18" t="s">
        <x:v>135</x:v>
      </x:c>
      <x:c r="C7" s="18" t="s">
        <x:v>254</x:v>
      </x:c>
      <x:c r="D7" s="18" t="s">
        <x:v>255</x:v>
      </x:c>
      <x:c r="E7" s="29">
        <x:v>180000</x:v>
      </x:c>
      <x:c r="F7" s="18" t="s">
        <x:v>22</x:v>
      </x:c>
      <x:c r="G7" s="19">
        <x:v>-3.2</x:v>
      </x:c>
      <x:c r="H7" s="108" t="str">
        <x:v>/image/tours/phu-yen-checkin-ven-bien-01.jpg</x:v>
      </x:c>
      <x:c r="I7" s="109"/>
      <x:c r="J7" s="115">
        <x:v>4.55</x:v>
      </x:c>
      <x:c r="K7" s="108">
        <x:v>121</x:v>
      </x:c>
      <x:c r="L7" s="108" t="s">
        <x:v>256</x:v>
      </x:c>
      <x:c r="M7" s="108" t="s">
        <x:v>257</x:v>
      </x:c>
      <x:c r="N7" s="108" t="s">
        <x:v>258</x:v>
      </x:c>
      <x:c r="O7" s="109">
        <x:v>30.19</x:v>
      </x:c>
      <x:c r="P7" s="109">
        <x:v>0.17100000000000001</x:v>
      </x:c>
      <x:c r="Q7" s="111">
        <x:v>6.5000000000000002E-2</x:v>
      </x:c>
      <x:c r="R7" s="108" t="s">
        <x:v>246</x:v>
      </x:c>
      <x:c r="S7" s="108" t="s">
        <x:v>259</x:v>
      </x:c>
      <x:c r="T7" s="108" t="s">
        <x:v>248</x:v>
      </x:c>
      <x:c r="U7" s="108" t="s">
        <x:v>260</x:v>
      </x:c>
      <x:c r="V7" s="93" t="str">
        <x:v>https://i.pinimg.com/736x/12/3f/f2/123ff25efda490eb4228ebea787f66cd.jpg</x:v>
      </x:c>
    </x:row>
    <x:row r="8" ht="15" customHeight="1">
      <x:c r="A8" s="16" t="s">
        <x:v>261</x:v>
      </x:c>
      <x:c r="B8" s="16" t="s">
        <x:v>135</x:v>
      </x:c>
      <x:c r="C8" s="16" t="s">
        <x:v>262</x:v>
      </x:c>
      <x:c r="D8" s="16" t="s">
        <x:v>263</x:v>
      </x:c>
      <x:c r="E8" s="28">
        <x:v>480000</x:v>
      </x:c>
      <x:c r="F8" s="16" t="s">
        <x:v>22</x:v>
      </x:c>
      <x:c r="G8" s="17">
        <x:v>-2.4</x:v>
      </x:c>
      <x:c r="H8" s="106" t="str">
        <x:v>/image/tours/phu-yen-bien-trong-01.jpg</x:v>
      </x:c>
      <x:c r="I8" s="107"/>
      <x:c r="J8" s="114">
        <x:v>4.6100000000000003</x:v>
      </x:c>
      <x:c r="K8" s="106">
        <x:v>74</x:v>
      </x:c>
      <x:c r="L8" s="106" t="s">
        <x:v>264</x:v>
      </x:c>
      <x:c r="M8" s="106" t="s">
        <x:v>265</x:v>
      </x:c>
      <x:c r="N8" s="106" t="s">
        <x:v>266</x:v>
      </x:c>
      <x:c r="O8" s="107">
        <x:v>1.6</x:v>
      </x:c>
      <x:c r="P8" s="107">
        <x:v>8</x:v>
      </x:c>
      <x:c r="Q8" s="110">
        <x:v>6.5</x:v>
      </x:c>
      <x:c r="R8" s="106" t="s">
        <x:v>267</x:v>
      </x:c>
      <x:c r="S8" s="106" t="s">
        <x:v>268</x:v>
      </x:c>
      <x:c r="T8" s="106" t="s">
        <x:v>227</x:v>
      </x:c>
      <x:c r="U8" s="106" t="s">
        <x:v>269</x:v>
      </x:c>
      <x:c r="V8" s="93" t="str">
        <x:v>https://i.pinimg.com/736x/e2/4f/59/e24f591500b16e994a8055892f2a7b52.jpg</x:v>
      </x:c>
    </x:row>
    <x:row r="9" ht="15" customHeight="1">
      <x:c r="A9" s="18" t="s">
        <x:v>270</x:v>
      </x:c>
      <x:c r="B9" s="18" t="s">
        <x:v>137</x:v>
      </x:c>
      <x:c r="C9" s="18" t="s">
        <x:v>271</x:v>
      </x:c>
      <x:c r="D9" s="18" t="s">
        <x:v>221</x:v>
      </x:c>
      <x:c r="E9" s="29">
        <x:v>80000</x:v>
      </x:c>
      <x:c r="F9" s="18" t="s">
        <x:v>23</x:v>
      </x:c>
      <x:c r="G9" s="19">
        <x:v>-2.1</x:v>
      </x:c>
      <x:c r="H9" s="108" t="str">
        <x:v>/image/tours/da-lat-ho-xuan-huong-01.jpg</x:v>
      </x:c>
      <x:c r="I9" s="109"/>
      <x:c r="J9" s="115">
        <x:v>4.8600000000000003</x:v>
      </x:c>
      <x:c r="K9" s="108">
        <x:v>251</x:v>
      </x:c>
      <x:c r="L9" s="108" t="s">
        <x:v>272</x:v>
      </x:c>
      <x:c r="M9" s="108" t="s">
        <x:v>244</x:v>
      </x:c>
      <x:c r="N9" s="108" t="s">
        <x:v>245</x:v>
      </x:c>
      <x:c r="O9" s="109">
        <x:v>12.28</x:v>
      </x:c>
      <x:c r="P9" s="109">
        <x:v>0.17100000000000001</x:v>
      </x:c>
      <x:c r="Q9" s="111">
        <x:v>0</x:v>
      </x:c>
      <x:c r="R9" s="108" t="s">
        <x:v>246</x:v>
      </x:c>
      <x:c r="S9" s="108" t="s">
        <x:v>247</x:v>
      </x:c>
      <x:c r="T9" s="108" t="s">
        <x:v>248</x:v>
      </x:c>
      <x:c r="U9" s="108" t="s">
        <x:v>249</x:v>
      </x:c>
      <x:c r="V9" s="93" t="str">
        <x:v>https://i.pinimg.com/736x/57/3e/6e/573e6e32477855a7ed566e64e07a4c39.jpg</x:v>
      </x:c>
    </x:row>
    <x:row r="10" ht="15" customHeight="1">
      <x:c r="A10" s="16" t="s">
        <x:v>273</x:v>
      </x:c>
      <x:c r="B10" s="16" t="s">
        <x:v>137</x:v>
      </x:c>
      <x:c r="C10" s="16" t="s">
        <x:v>274</x:v>
      </x:c>
      <x:c r="D10" s="16" t="s">
        <x:v>221</x:v>
      </x:c>
      <x:c r="E10" s="28">
        <x:v>0</x:v>
      </x:c>
      <x:c r="F10" s="16" t="s">
        <x:v>23</x:v>
      </x:c>
      <x:c r="G10" s="17">
        <x:v>-0.5</x:v>
      </x:c>
      <x:c r="H10" s="106" t="str">
        <x:v>/image/tours/da-lat-quang-truong-lam-vien-01.jpg</x:v>
      </x:c>
      <x:c r="I10" s="107"/>
      <x:c r="J10" s="114">
        <x:v>4.6900000000000004</x:v>
      </x:c>
      <x:c r="K10" s="106">
        <x:v>310</x:v>
      </x:c>
      <x:c r="L10" s="106" t="s">
        <x:v>275</x:v>
      </x:c>
      <x:c r="M10" s="106" t="s">
        <x:v>223</x:v>
      </x:c>
      <x:c r="N10" s="106" t="s">
        <x:v>224</x:v>
      </x:c>
      <x:c r="O10" s="107">
        <x:v>1.43</x:v>
      </x:c>
      <x:c r="P10" s="107">
        <x:v>0.6</x:v>
      </x:c>
      <x:c r="Q10" s="110">
        <x:v>0.25</x:v>
      </x:c>
      <x:c r="R10" s="106" t="s">
        <x:v>225</x:v>
      </x:c>
      <x:c r="S10" s="106" t="s">
        <x:v>226</x:v>
      </x:c>
      <x:c r="T10" s="106" t="s">
        <x:v>227</x:v>
      </x:c>
      <x:c r="U10" s="106" t="s">
        <x:v>228</x:v>
      </x:c>
      <x:c r="V10" s="93" t="str">
        <x:v>https://i.pinimg.com/736x/21/55/8f/21558f3ae0639ac880decc74e24a4f9a.jpg</x:v>
      </x:c>
    </x:row>
    <x:row r="11" ht="15" customHeight="1">
      <x:c r="A11" s="18" t="s">
        <x:v>276</x:v>
      </x:c>
      <x:c r="B11" s="18" t="s">
        <x:v>137</x:v>
      </x:c>
      <x:c r="C11" s="18" t="s">
        <x:v>277</x:v>
      </x:c>
      <x:c r="D11" s="18" t="s">
        <x:v>221</x:v>
      </x:c>
      <x:c r="E11" s="29">
        <x:v>250000</x:v>
      </x:c>
      <x:c r="F11" s="18" t="s">
        <x:v>23</x:v>
      </x:c>
      <x:c r="G11" s="19">
        <x:v>-1.8</x:v>
      </x:c>
      <x:c r="H11" s="108" t="str">
        <x:v>/image/tours/da-lat-toan-canh-thanh-pho-01.jpg</x:v>
      </x:c>
      <x:c r="I11" s="109"/>
      <x:c r="J11" s="115">
        <x:v>4.76</x:v>
      </x:c>
      <x:c r="K11" s="108">
        <x:v>168</x:v>
      </x:c>
      <x:c r="L11" s="108" t="s">
        <x:v>278</x:v>
      </x:c>
      <x:c r="M11" s="108" t="s">
        <x:v>244</x:v>
      </x:c>
      <x:c r="N11" s="108" t="s">
        <x:v>245</x:v>
      </x:c>
      <x:c r="O11" s="109">
        <x:v>10.53</x:v>
      </x:c>
      <x:c r="P11" s="109">
        <x:v>0.17100000000000001</x:v>
      </x:c>
      <x:c r="Q11" s="111">
        <x:v>0</x:v>
      </x:c>
      <x:c r="R11" s="108" t="s">
        <x:v>246</x:v>
      </x:c>
      <x:c r="S11" s="108" t="s">
        <x:v>247</x:v>
      </x:c>
      <x:c r="T11" s="108" t="s">
        <x:v>248</x:v>
      </x:c>
      <x:c r="U11" s="108" t="s">
        <x:v>249</x:v>
      </x:c>
      <x:c r="V11" s="93" t="str">
        <x:v>https://i.pinimg.com/1200x/ce/2c/ca/ce2ccaa3ae760d552f1f7a765572239f.jpg</x:v>
      </x:c>
    </x:row>
    <x:row r="12" ht="15" customHeight="1">
      <x:c r="A12" s="16" t="s">
        <x:v>279</x:v>
      </x:c>
      <x:c r="B12" s="16" t="s">
        <x:v>137</x:v>
      </x:c>
      <x:c r="C12" s="16" t="s">
        <x:v>280</x:v>
      </x:c>
      <x:c r="D12" s="16" t="s">
        <x:v>221</x:v>
      </x:c>
      <x:c r="E12" s="28">
        <x:v>180000</x:v>
      </x:c>
      <x:c r="F12" s="16" t="s">
        <x:v>23</x:v>
      </x:c>
      <x:c r="G12" s="17">
        <x:v>-1.4</x:v>
      </x:c>
      <x:c r="H12" s="106" t="str">
        <x:v>/image/tours/da-lat-ho-tuyen-lam-01.jpg</x:v>
      </x:c>
      <x:c r="I12" s="107"/>
      <x:c r="J12" s="114">
        <x:v>4.78</x:v>
      </x:c>
      <x:c r="K12" s="106">
        <x:v>192</x:v>
      </x:c>
      <x:c r="L12" s="106" t="s">
        <x:v>281</x:v>
      </x:c>
      <x:c r="M12" s="106" t="s">
        <x:v>244</x:v>
      </x:c>
      <x:c r="N12" s="106" t="s">
        <x:v>245</x:v>
      </x:c>
      <x:c r="O12" s="107">
        <x:v>8.19</x:v>
      </x:c>
      <x:c r="P12" s="107">
        <x:v>0.17100000000000001</x:v>
      </x:c>
      <x:c r="Q12" s="110">
        <x:v>0</x:v>
      </x:c>
      <x:c r="R12" s="106" t="s">
        <x:v>246</x:v>
      </x:c>
      <x:c r="S12" s="106" t="s">
        <x:v>247</x:v>
      </x:c>
      <x:c r="T12" s="106" t="s">
        <x:v>248</x:v>
      </x:c>
      <x:c r="U12" s="106" t="s">
        <x:v>249</x:v>
      </x:c>
      <x:c r="V12" s="93" t="str">
        <x:v>https://i.pinimg.com/736x/ea/01/24/ea0124134d5a8203b0be16f2ab14c78b.jpg</x:v>
      </x:c>
    </x:row>
    <x:row r="13" ht="15" customHeight="1">
      <x:c r="A13" s="18" t="s">
        <x:v>282</x:v>
      </x:c>
      <x:c r="B13" s="18" t="s">
        <x:v>137</x:v>
      </x:c>
      <x:c r="C13" s="18" t="s">
        <x:v>283</x:v>
      </x:c>
      <x:c r="D13" s="18" t="s">
        <x:v>221</x:v>
      </x:c>
      <x:c r="E13" s="29">
        <x:v>30000</x:v>
      </x:c>
      <x:c r="F13" s="18" t="s">
        <x:v>23</x:v>
      </x:c>
      <x:c r="G13" s="19">
        <x:v>-0.7</x:v>
      </x:c>
      <x:c r="H13" s="108" t="str">
        <x:v>/image/tours/da-lat-chua-linh-phuoc-01.jpg</x:v>
      </x:c>
      <x:c r="I13" s="109"/>
      <x:c r="J13" s="115">
        <x:v>4.6500000000000004</x:v>
      </x:c>
      <x:c r="K13" s="108">
        <x:v>203</x:v>
      </x:c>
      <x:c r="L13" s="108" t="s">
        <x:v>284</x:v>
      </x:c>
      <x:c r="M13" s="108" t="s">
        <x:v>223</x:v>
      </x:c>
      <x:c r="N13" s="108" t="s">
        <x:v>224</x:v>
      </x:c>
      <x:c r="O13" s="109">
        <x:v>2</x:v>
      </x:c>
      <x:c r="P13" s="109">
        <x:v>0.6</x:v>
      </x:c>
      <x:c r="Q13" s="111">
        <x:v>0.25</x:v>
      </x:c>
      <x:c r="R13" s="108" t="s">
        <x:v>225</x:v>
      </x:c>
      <x:c r="S13" s="108" t="s">
        <x:v>226</x:v>
      </x:c>
      <x:c r="T13" s="108" t="s">
        <x:v>227</x:v>
      </x:c>
      <x:c r="U13" s="108" t="s">
        <x:v>228</x:v>
      </x:c>
      <x:c r="V13" s="93" t="str">
        <x:v>https://i.pinimg.com/1200x/4f/3f/cc/4f3fcc214267658458c9328dd1b4f7d5.jpg</x:v>
      </x:c>
    </x:row>
    <x:row r="14" ht="15" customHeight="1">
      <x:c r="A14" s="16" t="s">
        <x:v>285</x:v>
      </x:c>
      <x:c r="B14" s="16" t="s">
        <x:v>137</x:v>
      </x:c>
      <x:c r="C14" s="16" t="s">
        <x:v>286</x:v>
      </x:c>
      <x:c r="D14" s="16" t="s">
        <x:v>231</x:v>
      </x:c>
      <x:c r="E14" s="28">
        <x:v>160000</x:v>
      </x:c>
      <x:c r="F14" s="16" t="s">
        <x:v>23</x:v>
      </x:c>
      <x:c r="G14" s="17">
        <x:v>-1.6</x:v>
      </x:c>
      <x:c r="H14" s="106" t="str">
        <x:v>/image/tours/da-lat-rung-thong-san-may-01.jpg</x:v>
      </x:c>
      <x:c r="I14" s="107"/>
      <x:c r="J14" s="114">
        <x:v>4.72</x:v>
      </x:c>
      <x:c r="K14" s="106">
        <x:v>129</x:v>
      </x:c>
      <x:c r="L14" s="106" t="s">
        <x:v>287</x:v>
      </x:c>
      <x:c r="M14" s="106" t="s">
        <x:v>233</x:v>
      </x:c>
      <x:c r="N14" s="106" t="s">
        <x:v>234</x:v>
      </x:c>
      <x:c r="O14" s="107">
        <x:v>3.2</x:v>
      </x:c>
      <x:c r="P14" s="107">
        <x:v>1.5</x:v>
      </x:c>
      <x:c r="Q14" s="110">
        <x:v>1</x:v>
      </x:c>
      <x:c r="R14" s="106" t="s">
        <x:v>235</x:v>
      </x:c>
      <x:c r="S14" s="106" t="s">
        <x:v>236</x:v>
      </x:c>
      <x:c r="T14" s="106" t="s">
        <x:v>227</x:v>
      </x:c>
      <x:c r="U14" s="106" t="s">
        <x:v>237</x:v>
      </x:c>
      <x:c r="V14" s="93" t="str">
        <x:v>https://i.pinimg.com/736x/6b/66/2d/6b662d824945ef388197b07d998f8359.jpg</x:v>
      </x:c>
    </x:row>
    <x:row r="15" ht="15" customHeight="1">
      <x:c r="A15" s="18" t="s">
        <x:v>288</x:v>
      </x:c>
      <x:c r="B15" s="18" t="s">
        <x:v>137</x:v>
      </x:c>
      <x:c r="C15" s="18" t="s">
        <x:v>289</x:v>
      </x:c>
      <x:c r="D15" s="18" t="s">
        <x:v>221</x:v>
      </x:c>
      <x:c r="E15" s="29">
        <x:v>0</x:v>
      </x:c>
      <x:c r="F15" s="18" t="s">
        <x:v>23</x:v>
      </x:c>
      <x:c r="G15" s="19">
        <x:v>-0.4</x:v>
      </x:c>
      <x:c r="H15" s="108" t="str">
        <x:v>/image/tours/da-lat-chua-linh-phuoc-01.jpg</x:v>
      </x:c>
      <x:c r="I15" s="109"/>
      <x:c r="J15" s="115">
        <x:v>4.5999999999999996</x:v>
      </x:c>
      <x:c r="K15" s="108">
        <x:v>177</x:v>
      </x:c>
      <x:c r="L15" s="108" t="s">
        <x:v>290</x:v>
      </x:c>
      <x:c r="M15" s="108" t="s">
        <x:v>223</x:v>
      </x:c>
      <x:c r="N15" s="108" t="s">
        <x:v>224</x:v>
      </x:c>
      <x:c r="O15" s="109">
        <x:v>1.1399999999999999</x:v>
      </x:c>
      <x:c r="P15" s="109">
        <x:v>0.6</x:v>
      </x:c>
      <x:c r="Q15" s="111">
        <x:v>0.25</x:v>
      </x:c>
      <x:c r="R15" s="108" t="s">
        <x:v>225</x:v>
      </x:c>
      <x:c r="S15" s="108" t="s">
        <x:v>226</x:v>
      </x:c>
      <x:c r="T15" s="108" t="s">
        <x:v>227</x:v>
      </x:c>
      <x:c r="U15" s="108" t="s">
        <x:v>228</x:v>
      </x:c>
      <x:c r="V15" s="93" t="str">
        <x:v>https://i.pinimg.com/1200x/50/81/43/5081433e45c77ae665bfade0671c76e4.jpg</x:v>
      </x:c>
    </x:row>
    <x:row r="16" ht="15" customHeight="1">
      <x:c r="A16" s="16" t="s">
        <x:v>291</x:v>
      </x:c>
      <x:c r="B16" s="16" t="s">
        <x:v>137</x:v>
      </x:c>
      <x:c r="C16" s="16" t="s">
        <x:v>292</x:v>
      </x:c>
      <x:c r="D16" s="16" t="s">
        <x:v>255</x:v>
      </x:c>
      <x:c r="E16" s="28">
        <x:v>120000</x:v>
      </x:c>
      <x:c r="F16" s="16" t="s">
        <x:v>23</x:v>
      </x:c>
      <x:c r="G16" s="17">
        <x:v>-3</x:v>
      </x:c>
      <x:c r="H16" s="106" t="str">
        <x:v>/image/tours/da-lat-doc-pho-01.jpg</x:v>
      </x:c>
      <x:c r="I16" s="107"/>
      <x:c r="J16" s="114">
        <x:v>4.51</x:v>
      </x:c>
      <x:c r="K16" s="106">
        <x:v>119</x:v>
      </x:c>
      <x:c r="L16" s="106" t="s">
        <x:v>293</x:v>
      </x:c>
      <x:c r="M16" s="106" t="s">
        <x:v>257</x:v>
      </x:c>
      <x:c r="N16" s="106" t="s">
        <x:v>258</x:v>
      </x:c>
      <x:c r="O16" s="107">
        <x:v>28.3</x:v>
      </x:c>
      <x:c r="P16" s="107">
        <x:v>0.17100000000000001</x:v>
      </x:c>
      <x:c r="Q16" s="110">
        <x:v>6.5000000000000002E-2</x:v>
      </x:c>
      <x:c r="R16" s="106" t="s">
        <x:v>246</x:v>
      </x:c>
      <x:c r="S16" s="106" t="s">
        <x:v>259</x:v>
      </x:c>
      <x:c r="T16" s="106" t="s">
        <x:v>248</x:v>
      </x:c>
      <x:c r="U16" s="106" t="s">
        <x:v>260</x:v>
      </x:c>
      <x:c r="V16" s="93" t="str">
        <x:v>https://i.pinimg.com/736x/c6/61/09/c6610904eb8a55fc18cdc007f25f1a12.jpg</x:v>
      </x:c>
    </x:row>
    <x:row r="17" ht="15" customHeight="1">
      <x:c r="A17" s="18" t="s">
        <x:v>294</x:v>
      </x:c>
      <x:c r="B17" s="18" t="s">
        <x:v>137</x:v>
      </x:c>
      <x:c r="C17" s="18" t="s">
        <x:v>295</x:v>
      </x:c>
      <x:c r="D17" s="18" t="s">
        <x:v>263</x:v>
      </x:c>
      <x:c r="E17" s="29">
        <x:v>650000</x:v>
      </x:c>
      <x:c r="F17" s="18" t="s">
        <x:v>23</x:v>
      </x:c>
      <x:c r="G17" s="19">
        <x:v>-2.8</x:v>
      </x:c>
      <x:c r="H17" s="108" t="str">
        <x:v>/image/tours/da-lat-ho-tuyen-lam-01.jpg</x:v>
      </x:c>
      <x:c r="I17" s="109"/>
      <x:c r="J17" s="115">
        <x:v>4.74</x:v>
      </x:c>
      <x:c r="K17" s="108">
        <x:v>86</x:v>
      </x:c>
      <x:c r="L17" s="108" t="s">
        <x:v>296</x:v>
      </x:c>
      <x:c r="M17" s="108" t="s">
        <x:v>265</x:v>
      </x:c>
      <x:c r="N17" s="108" t="s">
        <x:v>266</x:v>
      </x:c>
      <x:c r="O17" s="109">
        <x:v>1.87</x:v>
      </x:c>
      <x:c r="P17" s="109">
        <x:v>8</x:v>
      </x:c>
      <x:c r="Q17" s="111">
        <x:v>6.5</x:v>
      </x:c>
      <x:c r="R17" s="108" t="s">
        <x:v>267</x:v>
      </x:c>
      <x:c r="S17" s="108" t="s">
        <x:v>268</x:v>
      </x:c>
      <x:c r="T17" s="108" t="s">
        <x:v>227</x:v>
      </x:c>
      <x:c r="U17" s="108" t="s">
        <x:v>269</x:v>
      </x:c>
      <x:c r="V17" s="93" t="str">
        <x:v>https://i.pinimg.com/736x/9e/28/e0/9e28e009cfaea443652af842c4b6ccae.jpg</x:v>
      </x:c>
    </x:row>
    <x:row r="18" ht="15" customHeight="1">
      <x:c r="A18" s="16" t="s">
        <x:v>297</x:v>
      </x:c>
      <x:c r="B18" s="16" t="s">
        <x:v>139</x:v>
      </x:c>
      <x:c r="C18" s="16" t="s">
        <x:v>298</x:v>
      </x:c>
      <x:c r="D18" s="16" t="s">
        <x:v>221</x:v>
      </x:c>
      <x:c r="E18" s="28">
        <x:v>0</x:v>
      </x:c>
      <x:c r="F18" s="16" t="s">
        <x:v>24</x:v>
      </x:c>
      <x:c r="G18" s="17">
        <x:v>-0.5</x:v>
      </x:c>
      <x:c r="H18" s="106" t="str">
        <x:v>/image/tours/da-nang-cau-rong-hoang-hon-01.jpg</x:v>
      </x:c>
      <x:c r="I18" s="107"/>
      <x:c r="J18" s="114">
        <x:v>4.84</x:v>
      </x:c>
      <x:c r="K18" s="106">
        <x:v>342</x:v>
      </x:c>
      <x:c r="L18" s="106" t="s">
        <x:v>299</x:v>
      </x:c>
      <x:c r="M18" s="106" t="s">
        <x:v>223</x:v>
      </x:c>
      <x:c r="N18" s="106" t="s">
        <x:v>224</x:v>
      </x:c>
      <x:c r="O18" s="107">
        <x:v>1.43</x:v>
      </x:c>
      <x:c r="P18" s="107">
        <x:v>0.6</x:v>
      </x:c>
      <x:c r="Q18" s="110">
        <x:v>0.25</x:v>
      </x:c>
      <x:c r="R18" s="106" t="s">
        <x:v>225</x:v>
      </x:c>
      <x:c r="S18" s="106" t="s">
        <x:v>226</x:v>
      </x:c>
      <x:c r="T18" s="106" t="s">
        <x:v>227</x:v>
      </x:c>
      <x:c r="U18" s="106" t="s">
        <x:v>228</x:v>
      </x:c>
      <x:c r="V18" s="93" t="str">
        <x:v>https://i.pinimg.com/1200x/58/9e/60/589e603ed6614dbf063b018ca1d41044.jpg</x:v>
      </x:c>
    </x:row>
    <x:row r="19" ht="15" customHeight="1">
      <x:c r="A19" s="18" t="s">
        <x:v>300</x:v>
      </x:c>
      <x:c r="B19" s="18" t="s">
        <x:v>139</x:v>
      </x:c>
      <x:c r="C19" s="18" t="s">
        <x:v>301</x:v>
      </x:c>
      <x:c r="D19" s="18" t="s">
        <x:v>221</x:v>
      </x:c>
      <x:c r="E19" s="29">
        <x:v>950000</x:v>
      </x:c>
      <x:c r="F19" s="18" t="s">
        <x:v>24</x:v>
      </x:c>
      <x:c r="G19" s="19">
        <x:v>-0.8</x:v>
      </x:c>
      <x:c r="H19" s="108" t="str">
        <x:v>/image/tours/da-nang-cau-vang-ba-na-hills-01.jpg</x:v>
      </x:c>
      <x:c r="I19" s="109"/>
      <x:c r="J19" s="115">
        <x:v>4.71</x:v>
      </x:c>
      <x:c r="K19" s="108">
        <x:v>288</x:v>
      </x:c>
      <x:c r="L19" s="108" t="s">
        <x:v>302</x:v>
      </x:c>
      <x:c r="M19" s="108" t="s">
        <x:v>223</x:v>
      </x:c>
      <x:c r="N19" s="108" t="s">
        <x:v>224</x:v>
      </x:c>
      <x:c r="O19" s="109">
        <x:v>2.29</x:v>
      </x:c>
      <x:c r="P19" s="109">
        <x:v>0.6</x:v>
      </x:c>
      <x:c r="Q19" s="111">
        <x:v>0.25</x:v>
      </x:c>
      <x:c r="R19" s="108" t="s">
        <x:v>225</x:v>
      </x:c>
      <x:c r="S19" s="108" t="s">
        <x:v>226</x:v>
      </x:c>
      <x:c r="T19" s="108" t="s">
        <x:v>227</x:v>
      </x:c>
      <x:c r="U19" s="108" t="s">
        <x:v>228</x:v>
      </x:c>
      <x:c r="V19" s="93" t="str">
        <x:v>https://i.pinimg.com/1200x/0f/6e/d5/0f6ed53001e1e7e73eb761f57062f899.jpg</x:v>
      </x:c>
    </x:row>
    <x:row r="20" ht="15" customHeight="1">
      <x:c r="A20" s="16" t="s">
        <x:v>303</x:v>
      </x:c>
      <x:c r="B20" s="16" t="s">
        <x:v>139</x:v>
      </x:c>
      <x:c r="C20" s="16" t="s">
        <x:v>304</x:v>
      </x:c>
      <x:c r="D20" s="16" t="s">
        <x:v>221</x:v>
      </x:c>
      <x:c r="E20" s="28">
        <x:v>70000</x:v>
      </x:c>
      <x:c r="F20" s="16" t="s">
        <x:v>24</x:v>
      </x:c>
      <x:c r="G20" s="17">
        <x:v>-0.9</x:v>
      </x:c>
      <x:c r="H20" s="106" t="str">
        <x:v>/image/tours/da-nang-son-tra-rung-xanh-01.jpg</x:v>
      </x:c>
      <x:c r="I20" s="107"/>
      <x:c r="J20" s="114">
        <x:v>4.66</x:v>
      </x:c>
      <x:c r="K20" s="106">
        <x:v>166</x:v>
      </x:c>
      <x:c r="L20" s="106" t="s">
        <x:v>305</x:v>
      </x:c>
      <x:c r="M20" s="106" t="s">
        <x:v>223</x:v>
      </x:c>
      <x:c r="N20" s="106" t="s">
        <x:v>224</x:v>
      </x:c>
      <x:c r="O20" s="107">
        <x:v>2.57</x:v>
      </x:c>
      <x:c r="P20" s="107">
        <x:v>0.6</x:v>
      </x:c>
      <x:c r="Q20" s="110">
        <x:v>0.25</x:v>
      </x:c>
      <x:c r="R20" s="106" t="s">
        <x:v>225</x:v>
      </x:c>
      <x:c r="S20" s="106" t="s">
        <x:v>226</x:v>
      </x:c>
      <x:c r="T20" s="106" t="s">
        <x:v>227</x:v>
      </x:c>
      <x:c r="U20" s="106" t="s">
        <x:v>228</x:v>
      </x:c>
      <x:c r="V20" s="93" t="str">
        <x:v>https://i.pinimg.com/736x/cc/73/e2/cc73e2cbfec31c9331494fe1117b8085.jpg</x:v>
      </x:c>
    </x:row>
    <x:row r="21" ht="15" customHeight="1">
      <x:c r="A21" s="18" t="s">
        <x:v>306</x:v>
      </x:c>
      <x:c r="B21" s="18" t="s">
        <x:v>139</x:v>
      </x:c>
      <x:c r="C21" s="18" t="s">
        <x:v>307</x:v>
      </x:c>
      <x:c r="D21" s="18" t="s">
        <x:v>221</x:v>
      </x:c>
      <x:c r="E21" s="29">
        <x:v>50000</x:v>
      </x:c>
      <x:c r="F21" s="18" t="s">
        <x:v>24</x:v>
      </x:c>
      <x:c r="G21" s="19">
        <x:v>-1</x:v>
      </x:c>
      <x:c r="H21" s="108" t="str">
        <x:v>/image/tours/da-nang-son-tra-rung-xanh-01.jpg</x:v>
      </x:c>
      <x:c r="I21" s="109"/>
      <x:c r="J21" s="115">
        <x:v>4.68</x:v>
      </x:c>
      <x:c r="K21" s="108">
        <x:v>154</x:v>
      </x:c>
      <x:c r="L21" s="108" t="s">
        <x:v>308</x:v>
      </x:c>
      <x:c r="M21" s="108" t="s">
        <x:v>223</x:v>
      </x:c>
      <x:c r="N21" s="108" t="s">
        <x:v>224</x:v>
      </x:c>
      <x:c r="O21" s="109">
        <x:v>2.86</x:v>
      </x:c>
      <x:c r="P21" s="109">
        <x:v>0.6</x:v>
      </x:c>
      <x:c r="Q21" s="111">
        <x:v>0.25</x:v>
      </x:c>
      <x:c r="R21" s="108" t="s">
        <x:v>225</x:v>
      </x:c>
      <x:c r="S21" s="108" t="s">
        <x:v>226</x:v>
      </x:c>
      <x:c r="T21" s="108" t="s">
        <x:v>227</x:v>
      </x:c>
      <x:c r="U21" s="108" t="s">
        <x:v>228</x:v>
      </x:c>
      <x:c r="V21" s="93" t="str">
        <x:v>https://i.pinimg.com/1200x/ba/83/5c/ba835ca954a9de23675159b00778f2d9.jpg</x:v>
      </x:c>
    </x:row>
    <x:row r="22" ht="15" customHeight="1">
      <x:c r="A22" s="16" t="s">
        <x:v>309</x:v>
      </x:c>
      <x:c r="B22" s="16" t="s">
        <x:v>139</x:v>
      </x:c>
      <x:c r="C22" s="16" t="s">
        <x:v>310</x:v>
      </x:c>
      <x:c r="D22" s="16" t="s">
        <x:v>221</x:v>
      </x:c>
      <x:c r="E22" s="28">
        <x:v>120000</x:v>
      </x:c>
      <x:c r="F22" s="16" t="s">
        <x:v>24</x:v>
      </x:c>
      <x:c r="G22" s="17">
        <x:v>-1.1000000000000001</x:v>
      </x:c>
      <x:c r="H22" s="106" t="str">
        <x:v>/image/tours/hoi-an-pho-co-den-long-01.jpg</x:v>
      </x:c>
      <x:c r="I22" s="107"/>
      <x:c r="J22" s="114">
        <x:v>4.9000000000000004</x:v>
      </x:c>
      <x:c r="K22" s="106">
        <x:v>396</x:v>
      </x:c>
      <x:c r="L22" s="106" t="s">
        <x:v>311</x:v>
      </x:c>
      <x:c r="M22" s="106" t="s">
        <x:v>223</x:v>
      </x:c>
      <x:c r="N22" s="106" t="s">
        <x:v>224</x:v>
      </x:c>
      <x:c r="O22" s="107">
        <x:v>3.14</x:v>
      </x:c>
      <x:c r="P22" s="107">
        <x:v>0.6</x:v>
      </x:c>
      <x:c r="Q22" s="110">
        <x:v>0.25</x:v>
      </x:c>
      <x:c r="R22" s="106" t="s">
        <x:v>225</x:v>
      </x:c>
      <x:c r="S22" s="106" t="s">
        <x:v>226</x:v>
      </x:c>
      <x:c r="T22" s="106" t="s">
        <x:v>227</x:v>
      </x:c>
      <x:c r="U22" s="106" t="s">
        <x:v>228</x:v>
      </x:c>
      <x:c r="V22" s="93" t="str">
        <x:v>https://i.pinimg.com/736x/72/fb/66/72fb66407e9d4bae2baca3d5d6976a50.jpg</x:v>
      </x:c>
    </x:row>
    <x:row r="23" ht="15" customHeight="1">
      <x:c r="A23" s="18" t="s">
        <x:v>312</x:v>
      </x:c>
      <x:c r="B23" s="18" t="s">
        <x:v>139</x:v>
      </x:c>
      <x:c r="C23" s="18" t="s">
        <x:v>313</x:v>
      </x:c>
      <x:c r="D23" s="18" t="s">
        <x:v>221</x:v>
      </x:c>
      <x:c r="E23" s="29">
        <x:v>180000</x:v>
      </x:c>
      <x:c r="F23" s="18" t="s">
        <x:v>24</x:v>
      </x:c>
      <x:c r="G23" s="19">
        <x:v>-1.4</x:v>
      </x:c>
      <x:c r="H23" s="108" t="str">
        <x:v>/image/tours/hoi-an-song-hoai-hoa-dang-01.jpg</x:v>
      </x:c>
      <x:c r="I23" s="109"/>
      <x:c r="J23" s="115">
        <x:v>4.7300000000000004</x:v>
      </x:c>
      <x:c r="K23" s="108">
        <x:v>205</x:v>
      </x:c>
      <x:c r="L23" s="108" t="s">
        <x:v>314</x:v>
      </x:c>
      <x:c r="M23" s="108" t="s">
        <x:v>223</x:v>
      </x:c>
      <x:c r="N23" s="108" t="s">
        <x:v>224</x:v>
      </x:c>
      <x:c r="O23" s="109">
        <x:v>4</x:v>
      </x:c>
      <x:c r="P23" s="109">
        <x:v>0.6</x:v>
      </x:c>
      <x:c r="Q23" s="111">
        <x:v>0.25</x:v>
      </x:c>
      <x:c r="R23" s="108" t="s">
        <x:v>225</x:v>
      </x:c>
      <x:c r="S23" s="108" t="s">
        <x:v>226</x:v>
      </x:c>
      <x:c r="T23" s="108" t="s">
        <x:v>227</x:v>
      </x:c>
      <x:c r="U23" s="108" t="s">
        <x:v>228</x:v>
      </x:c>
      <x:c r="V23" s="93" t="str">
        <x:v>https://i.pinimg.com/1200x/20/91/54/209154787a463e0549849949116665c1.jpg</x:v>
      </x:c>
    </x:row>
    <x:row r="24" ht="15" customHeight="1">
      <x:c r="A24" s="16" t="s">
        <x:v>315</x:v>
      </x:c>
      <x:c r="B24" s="16" t="s">
        <x:v>139</x:v>
      </x:c>
      <x:c r="C24" s="16" t="s">
        <x:v>316</x:v>
      </x:c>
      <x:c r="D24" s="16" t="s">
        <x:v>231</x:v>
      </x:c>
      <x:c r="E24" s="28">
        <x:v>350000</x:v>
      </x:c>
      <x:c r="F24" s="16" t="s">
        <x:v>24</x:v>
      </x:c>
      <x:c r="G24" s="17">
        <x:v>-1.6</x:v>
      </x:c>
      <x:c r="H24" s="106" t="str">
        <x:v>/image/tours/hoi-an-lang-rau-tra-que-01.jpg</x:v>
      </x:c>
      <x:c r="I24" s="107"/>
      <x:c r="J24" s="114">
        <x:v>4.79</x:v>
      </x:c>
      <x:c r="K24" s="106">
        <x:v>133</x:v>
      </x:c>
      <x:c r="L24" s="106" t="s">
        <x:v>317</x:v>
      </x:c>
      <x:c r="M24" s="106" t="s">
        <x:v>233</x:v>
      </x:c>
      <x:c r="N24" s="106" t="s">
        <x:v>234</x:v>
      </x:c>
      <x:c r="O24" s="107">
        <x:v>3.2</x:v>
      </x:c>
      <x:c r="P24" s="107">
        <x:v>1.5</x:v>
      </x:c>
      <x:c r="Q24" s="110">
        <x:v>1</x:v>
      </x:c>
      <x:c r="R24" s="106" t="s">
        <x:v>235</x:v>
      </x:c>
      <x:c r="S24" s="106" t="s">
        <x:v>236</x:v>
      </x:c>
      <x:c r="T24" s="106" t="s">
        <x:v>227</x:v>
      </x:c>
      <x:c r="U24" s="106" t="s">
        <x:v>237</x:v>
      </x:c>
      <x:c r="V24" s="93" t="str">
        <x:v>https://i.pinimg.com/736x/67/cd/79/67cd79e84f7cc6c35a6817ebbb753caa.jpg</x:v>
      </x:c>
    </x:row>
    <x:row r="25" ht="15" customHeight="1">
      <x:c r="A25" s="18" t="s">
        <x:v>318</x:v>
      </x:c>
      <x:c r="B25" s="18" t="s">
        <x:v>139</x:v>
      </x:c>
      <x:c r="C25" s="18" t="s">
        <x:v>319</x:v>
      </x:c>
      <x:c r="D25" s="18" t="s">
        <x:v>221</x:v>
      </x:c>
      <x:c r="E25" s="29">
        <x:v>650000</x:v>
      </x:c>
      <x:c r="F25" s="18" t="s">
        <x:v>24</x:v>
      </x:c>
      <x:c r="G25" s="19">
        <x:v>-2.2000000000000002</x:v>
      </x:c>
      <x:c r="H25" s="108" t="str">
        <x:v>/image/tours/da-nang-bien-my-khe-01.jpg</x:v>
      </x:c>
      <x:c r="I25" s="109"/>
      <x:c r="J25" s="115">
        <x:v>4.7699999999999996</x:v>
      </x:c>
      <x:c r="K25" s="108">
        <x:v>118</x:v>
      </x:c>
      <x:c r="L25" s="108" t="s">
        <x:v>320</x:v>
      </x:c>
      <x:c r="M25" s="108" t="s">
        <x:v>223</x:v>
      </x:c>
      <x:c r="N25" s="108" t="s">
        <x:v>224</x:v>
      </x:c>
      <x:c r="O25" s="109">
        <x:v>6.29</x:v>
      </x:c>
      <x:c r="P25" s="109">
        <x:v>0.6</x:v>
      </x:c>
      <x:c r="Q25" s="111">
        <x:v>0.25</x:v>
      </x:c>
      <x:c r="R25" s="108" t="s">
        <x:v>225</x:v>
      </x:c>
      <x:c r="S25" s="108" t="s">
        <x:v>226</x:v>
      </x:c>
      <x:c r="T25" s="108" t="s">
        <x:v>227</x:v>
      </x:c>
      <x:c r="U25" s="108" t="s">
        <x:v>228</x:v>
      </x:c>
      <x:c r="V25" s="93" t="str">
        <x:v>https://i.pinimg.com/736x/10/45/22/104522e091e22eadc9e27768c42bd6f2.jpg</x:v>
      </x:c>
    </x:row>
    <x:row r="26" ht="15" customHeight="1">
      <x:c r="A26" s="16" t="s">
        <x:v>321</x:v>
      </x:c>
      <x:c r="B26" s="16" t="s">
        <x:v>139</x:v>
      </x:c>
      <x:c r="C26" s="16" t="s">
        <x:v>322</x:v>
      </x:c>
      <x:c r="D26" s="16" t="s">
        <x:v>255</x:v>
      </x:c>
      <x:c r="E26" s="28">
        <x:v>220000</x:v>
      </x:c>
      <x:c r="F26" s="16" t="s">
        <x:v>24</x:v>
      </x:c>
      <x:c r="G26" s="17">
        <x:v>-4.2</x:v>
      </x:c>
      <x:c r="H26" s="106" t="str">
        <x:v>/image/tours/hoi-an-pho-co-den-long-01.jpg</x:v>
      </x:c>
      <x:c r="I26" s="107"/>
      <x:c r="J26" s="114">
        <x:v>4.57</x:v>
      </x:c>
      <x:c r="K26" s="106">
        <x:v>143</x:v>
      </x:c>
      <x:c r="L26" s="106" t="s">
        <x:v>323</x:v>
      </x:c>
      <x:c r="M26" s="106" t="s">
        <x:v>257</x:v>
      </x:c>
      <x:c r="N26" s="106" t="s">
        <x:v>324</x:v>
      </x:c>
      <x:c r="O26" s="107">
        <x:v>33.33</x:v>
      </x:c>
      <x:c r="P26" s="107">
        <x:v>0.17100000000000001</x:v>
      </x:c>
      <x:c r="Q26" s="110">
        <x:v>4.4999999999999998E-2</x:v>
      </x:c>
      <x:c r="R26" s="106" t="s">
        <x:v>246</x:v>
      </x:c>
      <x:c r="S26" s="106" t="s">
        <x:v>325</x:v>
      </x:c>
      <x:c r="T26" s="106" t="s">
        <x:v>248</x:v>
      </x:c>
      <x:c r="U26" s="106" t="s">
        <x:v>260</x:v>
      </x:c>
      <x:c r="V26" s="93" t="str">
        <x:v>https://i.pinimg.com/736x/b0/0e/34/b00e344658c05b3980d1b99da0a3418a.jpg</x:v>
      </x:c>
    </x:row>
    <x:row r="27" ht="15" customHeight="1">
      <x:c r="A27" s="18" t="s">
        <x:v>326</x:v>
      </x:c>
      <x:c r="B27" s="18" t="s">
        <x:v>139</x:v>
      </x:c>
      <x:c r="C27" s="18" t="s">
        <x:v>327</x:v>
      </x:c>
      <x:c r="D27" s="18" t="s">
        <x:v>263</x:v>
      </x:c>
      <x:c r="E27" s="29">
        <x:v>720000</x:v>
      </x:c>
      <x:c r="F27" s="18" t="s">
        <x:v>24</x:v>
      </x:c>
      <x:c r="G27" s="19">
        <x:v>-2.7</x:v>
      </x:c>
      <x:c r="H27" s="108" t="str">
        <x:v>/image/tours/hoi-an-pho-co-den-long-01.jpg</x:v>
      </x:c>
      <x:c r="I27" s="109"/>
      <x:c r="J27" s="115">
        <x:v>4.8099999999999996</x:v>
      </x:c>
      <x:c r="K27" s="108">
        <x:v>102</x:v>
      </x:c>
      <x:c r="L27" s="108" t="s">
        <x:v>328</x:v>
      </x:c>
      <x:c r="M27" s="108" t="s">
        <x:v>265</x:v>
      </x:c>
      <x:c r="N27" s="108" t="s">
        <x:v>266</x:v>
      </x:c>
      <x:c r="O27" s="109">
        <x:v>1.8</x:v>
      </x:c>
      <x:c r="P27" s="109">
        <x:v>8</x:v>
      </x:c>
      <x:c r="Q27" s="111">
        <x:v>6.5</x:v>
      </x:c>
      <x:c r="R27" s="108" t="s">
        <x:v>267</x:v>
      </x:c>
      <x:c r="S27" s="108" t="s">
        <x:v>268</x:v>
      </x:c>
      <x:c r="T27" s="108" t="s">
        <x:v>227</x:v>
      </x:c>
      <x:c r="U27" s="108" t="s">
        <x:v>269</x:v>
      </x:c>
      <x:c r="V27" s="93" t="str">
        <x:v>https://i.pinimg.com/1200x/9a/8e/80/9a8e809b96b1bb611aabf4e2a8680670.jpg</x:v>
      </x:c>
    </x:row>
    <x:row r="28">
      <x:c r="A28" s="1"/>
      <x:c r="B28" s="1"/>
      <x:c r="C28" s="1"/>
      <x:c r="D28" s="1"/>
      <x:c r="E28" s="1"/>
      <x:c r="F28" s="1"/>
      <x:c r="G28" s="1"/>
      <x:c r="H28" s="1"/>
      <x:c r="I28" s="1"/>
      <x:c r="J28" s="1"/>
      <x:c r="K28" s="1"/>
      <x:c r="L28" s="1"/>
      <x:c r="M28" s="1"/>
      <x:c r="N28" s="1"/>
      <x:c r="O28" s="1"/>
      <x:c r="P28" s="1"/>
      <x:c r="Q28" s="1"/>
      <x:c r="R28" s="1"/>
      <x:c r="S28" s="1"/>
      <x:c r="T28" s="1"/>
      <x:c r="U28" s="1"/>
    </x:row>
    <x:row r="29">
      <x:c r="A29" s="1"/>
      <x:c r="B29" s="1"/>
      <x:c r="C29" s="1"/>
      <x:c r="D29" s="1"/>
      <x:c r="E29" s="1"/>
      <x:c r="F29" s="1"/>
      <x:c r="G29" s="1"/>
      <x:c r="H29" s="1"/>
      <x:c r="I29" s="1"/>
      <x:c r="J29" s="1"/>
      <x:c r="K29" s="1"/>
      <x:c r="L29" s="1"/>
      <x:c r="M29" s="1"/>
      <x:c r="N29" s="1"/>
      <x:c r="O29" s="1"/>
      <x:c r="P29" s="1"/>
      <x:c r="Q29" s="1"/>
      <x:c r="R29" s="1"/>
      <x:c r="S29" s="1"/>
      <x:c r="T29" s="1"/>
      <x:c r="U29" s="1"/>
    </x:row>
    <x:row r="30">
      <x:c r="A30" s="1"/>
      <x:c r="B30" s="1"/>
      <x:c r="C30" s="1"/>
      <x:c r="D30" s="1"/>
      <x:c r="E30" s="1"/>
      <x:c r="F30" s="1"/>
      <x:c r="G30" s="1"/>
      <x:c r="H30" s="1"/>
      <x:c r="I30" s="1"/>
      <x:c r="J30" s="1"/>
      <x:c r="K30" s="1"/>
      <x:c r="L30" s="1"/>
      <x:c r="M30" s="1"/>
      <x:c r="N30" s="1"/>
      <x:c r="O30" s="1"/>
      <x:c r="P30" s="1"/>
      <x:c r="Q30" s="1"/>
      <x:c r="R30" s="1"/>
      <x:c r="S30" s="1"/>
      <x:c r="T30" s="1"/>
      <x:c r="U30" s="1"/>
    </x:row>
    <x:row r="31">
      <x:c r="A31" s="1"/>
      <x:c r="B31" s="1"/>
      <x:c r="C31" s="1"/>
      <x:c r="D31" s="1"/>
      <x:c r="E31" s="1"/>
      <x:c r="F31" s="1"/>
      <x:c r="G31" s="1"/>
      <x:c r="H31" s="1"/>
      <x:c r="I31" s="1"/>
      <x:c r="J31" s="1"/>
      <x:c r="K31" s="1"/>
      <x:c r="L31" s="1"/>
      <x:c r="M31" s="1"/>
      <x:c r="N31" s="1"/>
      <x:c r="O31" s="1"/>
      <x:c r="P31" s="1"/>
      <x:c r="Q31" s="1"/>
      <x:c r="R31" s="1"/>
      <x:c r="S31" s="1"/>
      <x:c r="T31" s="1"/>
      <x:c r="U31" s="1"/>
    </x:row>
    <x:row r="32">
      <x:c r="A32" s="1"/>
      <x:c r="B32" s="1"/>
      <x:c r="C32" s="1"/>
      <x:c r="D32" s="1"/>
      <x:c r="E32" s="1"/>
      <x:c r="F32" s="1"/>
      <x:c r="G32" s="1"/>
      <x:c r="H32" s="1"/>
      <x:c r="I32" s="1"/>
      <x:c r="J32" s="1"/>
      <x:c r="K32" s="1"/>
      <x:c r="L32" s="1"/>
      <x:c r="M32" s="1"/>
      <x:c r="N32" s="1"/>
      <x:c r="O32" s="1"/>
      <x:c r="P32" s="1"/>
      <x:c r="Q32" s="1"/>
      <x:c r="R32" s="1"/>
      <x:c r="S32" s="1"/>
      <x:c r="T32" s="1"/>
      <x:c r="U32" s="1"/>
    </x:row>
    <x:row r="33">
      <x:c r="A33" s="1"/>
      <x:c r="B33" s="1"/>
      <x:c r="C33" s="1"/>
      <x:c r="D33" s="1"/>
      <x:c r="E33" s="1"/>
      <x:c r="F33" s="1"/>
      <x:c r="G33" s="1"/>
      <x:c r="H33" s="1"/>
      <x:c r="I33" s="1"/>
      <x:c r="J33" s="1"/>
      <x:c r="K33" s="1"/>
      <x:c r="L33" s="1"/>
      <x:c r="M33" s="1"/>
      <x:c r="N33" s="1"/>
      <x:c r="O33" s="1"/>
      <x:c r="P33" s="1"/>
      <x:c r="Q33" s="1"/>
      <x:c r="R33" s="1"/>
      <x:c r="S33" s="1"/>
      <x:c r="T33" s="1"/>
      <x:c r="U33" s="1"/>
    </x:row>
    <x:row r="34">
      <x:c r="A34" s="1"/>
      <x:c r="B34" s="1"/>
      <x:c r="C34" s="1"/>
      <x:c r="D34" s="1"/>
      <x:c r="E34" s="1"/>
      <x:c r="F34" s="1"/>
      <x:c r="G34" s="1"/>
      <x:c r="H34" s="1"/>
      <x:c r="I34" s="1"/>
      <x:c r="J34" s="1"/>
      <x:c r="K34" s="1"/>
      <x:c r="L34" s="1"/>
      <x:c r="M34" s="1"/>
      <x:c r="N34" s="1"/>
      <x:c r="O34" s="1"/>
      <x:c r="P34" s="1"/>
      <x:c r="Q34" s="1"/>
      <x:c r="R34" s="1"/>
      <x:c r="S34" s="1"/>
      <x:c r="T34" s="1"/>
      <x:c r="U34" s="1"/>
    </x:row>
    <x:row r="35">
      <x:c r="A35" s="1"/>
      <x:c r="B35" s="1"/>
      <x:c r="C35" s="1"/>
      <x:c r="D35" s="1"/>
      <x:c r="E35" s="1"/>
      <x:c r="F35" s="1"/>
      <x:c r="G35" s="1"/>
      <x:c r="H35" s="1"/>
      <x:c r="I35" s="1"/>
      <x:c r="J35" s="1"/>
      <x:c r="K35" s="1"/>
      <x:c r="L35" s="1"/>
      <x:c r="M35" s="1"/>
      <x:c r="N35" s="1"/>
      <x:c r="O35" s="1"/>
      <x:c r="P35" s="1"/>
      <x:c r="Q35" s="1"/>
      <x:c r="R35" s="1"/>
      <x:c r="S35" s="1"/>
      <x:c r="T35" s="1"/>
      <x:c r="U35" s="1"/>
    </x:row>
    <x:row r="36">
      <x:c r="A36" s="1"/>
      <x:c r="B36" s="1"/>
      <x:c r="C36" s="1"/>
      <x:c r="D36" s="1"/>
      <x:c r="E36" s="1"/>
      <x:c r="F36" s="1"/>
      <x:c r="G36" s="1"/>
      <x:c r="H36" s="1"/>
      <x:c r="I36" s="1"/>
      <x:c r="J36" s="1"/>
      <x:c r="K36" s="1"/>
      <x:c r="L36" s="1"/>
      <x:c r="M36" s="1"/>
      <x:c r="N36" s="1"/>
      <x:c r="O36" s="1"/>
      <x:c r="P36" s="1"/>
      <x:c r="Q36" s="1"/>
      <x:c r="R36" s="1"/>
      <x:c r="S36" s="1"/>
      <x:c r="T36" s="1"/>
      <x:c r="U36" s="1"/>
    </x:row>
    <x:row r="37">
      <x:c r="A37" s="1"/>
      <x:c r="B37" s="1"/>
      <x:c r="C37" s="1"/>
      <x:c r="D37" s="1"/>
      <x:c r="E37" s="1"/>
      <x:c r="F37" s="1"/>
      <x:c r="G37" s="1"/>
      <x:c r="H37" s="1"/>
      <x:c r="I37" s="1"/>
      <x:c r="J37" s="1"/>
      <x:c r="K37" s="1"/>
      <x:c r="L37" s="1"/>
      <x:c r="M37" s="1"/>
      <x:c r="N37" s="1"/>
      <x:c r="O37" s="1"/>
      <x:c r="P37" s="1"/>
      <x:c r="Q37" s="1"/>
      <x:c r="R37" s="1"/>
      <x:c r="S37" s="1"/>
      <x:c r="T37" s="1"/>
      <x:c r="U37" s="1"/>
    </x:row>
    <x:row r="38">
      <x:c r="A38" s="1"/>
      <x:c r="B38" s="1"/>
      <x:c r="C38" s="1"/>
      <x:c r="D38" s="1"/>
      <x:c r="E38" s="1"/>
      <x:c r="F38" s="1"/>
      <x:c r="G38" s="1"/>
      <x:c r="H38" s="1"/>
      <x:c r="I38" s="1"/>
      <x:c r="J38" s="1"/>
      <x:c r="K38" s="1"/>
      <x:c r="L38" s="1"/>
      <x:c r="M38" s="1"/>
      <x:c r="N38" s="1"/>
      <x:c r="O38" s="1"/>
      <x:c r="P38" s="1"/>
      <x:c r="Q38" s="1"/>
      <x:c r="R38" s="1"/>
      <x:c r="S38" s="1"/>
      <x:c r="T38" s="1"/>
      <x:c r="U38" s="1"/>
    </x:row>
    <x:row r="39">
      <x:c r="A39" s="1"/>
      <x:c r="B39" s="1"/>
      <x:c r="C39" s="1"/>
      <x:c r="D39" s="1"/>
      <x:c r="E39" s="1"/>
      <x:c r="F39" s="1"/>
      <x:c r="G39" s="1"/>
      <x:c r="H39" s="1"/>
      <x:c r="I39" s="1"/>
      <x:c r="J39" s="1"/>
      <x:c r="K39" s="1"/>
      <x:c r="L39" s="1"/>
      <x:c r="M39" s="1"/>
      <x:c r="N39" s="1"/>
      <x:c r="O39" s="1"/>
      <x:c r="P39" s="1"/>
      <x:c r="Q39" s="1"/>
      <x:c r="R39" s="1"/>
      <x:c r="S39" s="1"/>
      <x:c r="T39" s="1"/>
      <x:c r="U39" s="1"/>
    </x:row>
    <x:row r="40">
      <x:c r="A40" s="1"/>
      <x:c r="B40" s="1"/>
      <x:c r="C40" s="1"/>
      <x:c r="D40" s="1"/>
      <x:c r="E40" s="1"/>
      <x:c r="F40" s="1"/>
      <x:c r="G40" s="1"/>
      <x:c r="H40" s="1"/>
      <x:c r="I40" s="1"/>
      <x:c r="J40" s="1"/>
      <x:c r="K40" s="1"/>
      <x:c r="L40" s="1"/>
      <x:c r="M40" s="1"/>
      <x:c r="N40" s="1"/>
      <x:c r="O40" s="1"/>
      <x:c r="P40" s="1"/>
      <x:c r="Q40" s="1"/>
      <x:c r="R40" s="1"/>
      <x:c r="S40" s="1"/>
      <x:c r="T40" s="1"/>
      <x:c r="U40" s="1"/>
    </x:row>
    <x:row r="41">
      <x:c r="A41" s="1"/>
      <x:c r="B41" s="1"/>
      <x:c r="C41" s="1"/>
      <x:c r="D41" s="1"/>
      <x:c r="E41" s="1"/>
      <x:c r="F41" s="1"/>
      <x:c r="G41" s="1"/>
      <x:c r="H41" s="1"/>
      <x:c r="I41" s="1"/>
      <x:c r="J41" s="1"/>
      <x:c r="K41" s="1"/>
      <x:c r="L41" s="1"/>
      <x:c r="M41" s="1"/>
      <x:c r="N41" s="1"/>
      <x:c r="O41" s="1"/>
      <x:c r="P41" s="1"/>
      <x:c r="Q41" s="1"/>
      <x:c r="R41" s="1"/>
      <x:c r="S41" s="1"/>
      <x:c r="T41" s="1"/>
      <x:c r="U41" s="1"/>
    </x:row>
    <x:row r="42">
      <x:c r="A42" s="1"/>
      <x:c r="B42" s="1"/>
      <x:c r="C42" s="1"/>
      <x:c r="D42" s="1"/>
      <x:c r="E42" s="1"/>
      <x:c r="F42" s="1"/>
      <x:c r="G42" s="1"/>
      <x:c r="H42" s="1"/>
      <x:c r="I42" s="1"/>
      <x:c r="J42" s="1"/>
      <x:c r="K42" s="1"/>
      <x:c r="L42" s="1"/>
      <x:c r="M42" s="1"/>
      <x:c r="N42" s="1"/>
      <x:c r="O42" s="1"/>
      <x:c r="P42" s="1"/>
      <x:c r="Q42" s="1"/>
      <x:c r="R42" s="1"/>
      <x:c r="S42" s="1"/>
      <x:c r="T42" s="1"/>
      <x:c r="U42" s="1"/>
    </x:row>
    <x:row r="43">
      <x:c r="A43" s="1"/>
      <x:c r="B43" s="1"/>
      <x:c r="C43" s="1"/>
      <x:c r="D43" s="1"/>
      <x:c r="E43" s="1"/>
      <x:c r="F43" s="1"/>
      <x:c r="G43" s="1"/>
      <x:c r="H43" s="1"/>
      <x:c r="I43" s="1"/>
      <x:c r="J43" s="1"/>
      <x:c r="K43" s="1"/>
      <x:c r="L43" s="1"/>
      <x:c r="M43" s="1"/>
      <x:c r="N43" s="1"/>
      <x:c r="O43" s="1"/>
      <x:c r="P43" s="1"/>
      <x:c r="Q43" s="1"/>
      <x:c r="R43" s="1"/>
      <x:c r="S43" s="1"/>
      <x:c r="T43" s="1"/>
      <x:c r="U43" s="1"/>
    </x:row>
    <x:row r="44">
      <x:c r="A44" s="1"/>
      <x:c r="B44" s="1"/>
      <x:c r="C44" s="1"/>
      <x:c r="D44" s="1"/>
      <x:c r="E44" s="1"/>
      <x:c r="F44" s="1"/>
      <x:c r="G44" s="1"/>
      <x:c r="H44" s="1"/>
      <x:c r="I44" s="1"/>
      <x:c r="J44" s="1"/>
      <x:c r="K44" s="1"/>
      <x:c r="L44" s="1"/>
      <x:c r="M44" s="1"/>
      <x:c r="N44" s="1"/>
      <x:c r="O44" s="1"/>
      <x:c r="P44" s="1"/>
      <x:c r="Q44" s="1"/>
      <x:c r="R44" s="1"/>
      <x:c r="S44" s="1"/>
      <x:c r="T44" s="1"/>
      <x:c r="U44" s="1"/>
    </x:row>
    <x:row r="45">
      <x:c r="A45" s="1"/>
      <x:c r="B45" s="1"/>
      <x:c r="C45" s="1"/>
      <x:c r="D45" s="1"/>
      <x:c r="E45" s="1"/>
      <x:c r="F45" s="1"/>
      <x:c r="G45" s="1"/>
      <x:c r="H45" s="1"/>
      <x:c r="I45" s="1"/>
      <x:c r="J45" s="1"/>
      <x:c r="K45" s="1"/>
      <x:c r="L45" s="1"/>
      <x:c r="M45" s="1"/>
      <x:c r="N45" s="1"/>
      <x:c r="O45" s="1"/>
      <x:c r="P45" s="1"/>
      <x:c r="Q45" s="1"/>
      <x:c r="R45" s="1"/>
      <x:c r="S45" s="1"/>
      <x:c r="T45" s="1"/>
      <x:c r="U45" s="1"/>
    </x:row>
    <x:row r="46">
      <x:c r="A46" s="1"/>
      <x:c r="B46" s="1"/>
      <x:c r="C46" s="1"/>
      <x:c r="D46" s="1"/>
      <x:c r="E46" s="1"/>
      <x:c r="F46" s="1"/>
      <x:c r="G46" s="1"/>
      <x:c r="H46" s="1"/>
      <x:c r="I46" s="1"/>
      <x:c r="J46" s="1"/>
      <x:c r="K46" s="1"/>
      <x:c r="L46" s="1"/>
      <x:c r="M46" s="1"/>
      <x:c r="N46" s="1"/>
      <x:c r="O46" s="1"/>
      <x:c r="P46" s="1"/>
      <x:c r="Q46" s="1"/>
      <x:c r="R46" s="1"/>
      <x:c r="S46" s="1"/>
      <x:c r="T46" s="1"/>
      <x:c r="U46" s="1"/>
    </x:row>
    <x:row r="47">
      <x:c r="A47" s="1"/>
      <x:c r="B47" s="1"/>
      <x:c r="C47" s="1"/>
      <x:c r="D47" s="1"/>
      <x:c r="E47" s="1"/>
      <x:c r="F47" s="1"/>
      <x:c r="G47" s="1"/>
      <x:c r="H47" s="1"/>
      <x:c r="I47" s="1"/>
      <x:c r="J47" s="1"/>
      <x:c r="K47" s="1"/>
      <x:c r="L47" s="1"/>
      <x:c r="M47" s="1"/>
      <x:c r="N47" s="1"/>
      <x:c r="O47" s="1"/>
      <x:c r="P47" s="1"/>
      <x:c r="Q47" s="1"/>
      <x:c r="R47" s="1"/>
      <x:c r="S47" s="1"/>
      <x:c r="T47" s="1"/>
      <x:c r="U47" s="1"/>
    </x:row>
    <x:row r="48">
      <x:c r="A48" s="1"/>
      <x:c r="B48" s="1"/>
      <x:c r="C48" s="1"/>
      <x:c r="D48" s="1"/>
      <x:c r="E48" s="1"/>
      <x:c r="F48" s="1"/>
      <x:c r="G48" s="1"/>
      <x:c r="H48" s="1"/>
      <x:c r="I48" s="1"/>
      <x:c r="J48" s="1"/>
      <x:c r="K48" s="1"/>
      <x:c r="L48" s="1"/>
      <x:c r="M48" s="1"/>
      <x:c r="N48" s="1"/>
      <x:c r="O48" s="1"/>
      <x:c r="P48" s="1"/>
      <x:c r="Q48" s="1"/>
      <x:c r="R48" s="1"/>
      <x:c r="S48" s="1"/>
      <x:c r="T48" s="1"/>
      <x:c r="U48" s="1"/>
    </x:row>
    <x:row r="49">
      <x:c r="A49" s="1"/>
      <x:c r="B49" s="1"/>
      <x:c r="C49" s="1"/>
      <x:c r="D49" s="1"/>
      <x:c r="E49" s="1"/>
      <x:c r="F49" s="1"/>
      <x:c r="G49" s="1"/>
      <x:c r="H49" s="1"/>
      <x:c r="I49" s="1"/>
      <x:c r="J49" s="1"/>
      <x:c r="K49" s="1"/>
      <x:c r="L49" s="1"/>
      <x:c r="M49" s="1"/>
      <x:c r="N49" s="1"/>
      <x:c r="O49" s="1"/>
      <x:c r="P49" s="1"/>
      <x:c r="Q49" s="1"/>
      <x:c r="R49" s="1"/>
      <x:c r="S49" s="1"/>
      <x:c r="T49" s="1"/>
      <x:c r="U49" s="1"/>
    </x:row>
    <x:row r="50">
      <x:c r="A50" s="1"/>
      <x:c r="B50" s="1"/>
      <x:c r="C50" s="1"/>
      <x:c r="D50" s="1"/>
      <x:c r="E50" s="1"/>
      <x:c r="F50" s="1"/>
      <x:c r="G50" s="1"/>
      <x:c r="H50" s="1"/>
      <x:c r="I50" s="1"/>
      <x:c r="J50" s="1"/>
      <x:c r="K50" s="1"/>
      <x:c r="L50" s="1"/>
      <x:c r="M50" s="1"/>
      <x:c r="N50" s="1"/>
      <x:c r="O50" s="1"/>
      <x:c r="P50" s="1"/>
      <x:c r="Q50" s="1"/>
      <x:c r="R50" s="1"/>
      <x:c r="S50" s="1"/>
      <x:c r="T50" s="1"/>
      <x:c r="U50" s="1"/>
    </x:row>
    <x:row r="51">
      <x:c r="A51" s="1"/>
      <x:c r="B51" s="1"/>
      <x:c r="C51" s="1"/>
      <x:c r="D51" s="1"/>
      <x:c r="E51" s="1"/>
      <x:c r="F51" s="1"/>
      <x:c r="G51" s="1"/>
      <x:c r="H51" s="1"/>
      <x:c r="I51" s="1"/>
      <x:c r="J51" s="1"/>
      <x:c r="K51" s="1"/>
      <x:c r="L51" s="1"/>
      <x:c r="M51" s="1"/>
      <x:c r="N51" s="1"/>
      <x:c r="O51" s="1"/>
      <x:c r="P51" s="1"/>
      <x:c r="Q51" s="1"/>
      <x:c r="R51" s="1"/>
      <x:c r="S51" s="1"/>
      <x:c r="T51" s="1"/>
      <x:c r="U51" s="1"/>
    </x:row>
    <x:row r="52">
      <x:c r="A52" s="1"/>
      <x:c r="B52" s="1"/>
      <x:c r="C52" s="1"/>
      <x:c r="D52" s="1"/>
      <x:c r="E52" s="1"/>
      <x:c r="F52" s="1"/>
      <x:c r="G52" s="1"/>
      <x:c r="H52" s="1"/>
      <x:c r="I52" s="1"/>
      <x:c r="J52" s="1"/>
      <x:c r="K52" s="1"/>
      <x:c r="L52" s="1"/>
      <x:c r="M52" s="1"/>
      <x:c r="N52" s="1"/>
      <x:c r="O52" s="1"/>
      <x:c r="P52" s="1"/>
      <x:c r="Q52" s="1"/>
      <x:c r="R52" s="1"/>
      <x:c r="S52" s="1"/>
      <x:c r="T52" s="1"/>
      <x:c r="U52" s="1"/>
    </x:row>
    <x:row r="53">
      <x:c r="A53" s="1"/>
      <x:c r="B53" s="1"/>
      <x:c r="C53" s="1"/>
      <x:c r="D53" s="1"/>
      <x:c r="E53" s="1"/>
      <x:c r="F53" s="1"/>
      <x:c r="G53" s="1"/>
      <x:c r="H53" s="1"/>
      <x:c r="I53" s="1"/>
      <x:c r="J53" s="1"/>
      <x:c r="K53" s="1"/>
      <x:c r="L53" s="1"/>
      <x:c r="M53" s="1"/>
      <x:c r="N53" s="1"/>
      <x:c r="O53" s="1"/>
      <x:c r="P53" s="1"/>
      <x:c r="Q53" s="1"/>
      <x:c r="R53" s="1"/>
      <x:c r="S53" s="1"/>
      <x:c r="T53" s="1"/>
      <x:c r="U53" s="1"/>
    </x:row>
    <x:row r="54">
      <x:c r="A54" s="1"/>
      <x:c r="B54" s="1"/>
      <x:c r="C54" s="1"/>
      <x:c r="D54" s="1"/>
      <x:c r="E54" s="1"/>
      <x:c r="F54" s="1"/>
      <x:c r="G54" s="1"/>
      <x:c r="H54" s="1"/>
      <x:c r="I54" s="1"/>
      <x:c r="J54" s="1"/>
      <x:c r="K54" s="1"/>
      <x:c r="L54" s="1"/>
      <x:c r="M54" s="1"/>
      <x:c r="N54" s="1"/>
      <x:c r="O54" s="1"/>
      <x:c r="P54" s="1"/>
      <x:c r="Q54" s="1"/>
      <x:c r="R54" s="1"/>
      <x:c r="S54" s="1"/>
      <x:c r="T54" s="1"/>
      <x:c r="U54" s="1"/>
    </x:row>
    <x:row r="55">
      <x:c r="A55" s="1"/>
      <x:c r="B55" s="1"/>
      <x:c r="C55" s="1"/>
      <x:c r="D55" s="1"/>
      <x:c r="E55" s="1"/>
      <x:c r="F55" s="1"/>
      <x:c r="G55" s="1"/>
      <x:c r="H55" s="1"/>
      <x:c r="I55" s="1"/>
      <x:c r="J55" s="1"/>
      <x:c r="K55" s="1"/>
      <x:c r="L55" s="1"/>
      <x:c r="M55" s="1"/>
      <x:c r="N55" s="1"/>
      <x:c r="O55" s="1"/>
      <x:c r="P55" s="1"/>
      <x:c r="Q55" s="1"/>
      <x:c r="R55" s="1"/>
      <x:c r="S55" s="1"/>
      <x:c r="T55" s="1"/>
      <x:c r="U55" s="1"/>
    </x:row>
    <x:row r="56">
      <x:c r="A56" s="1"/>
      <x:c r="B56" s="1"/>
      <x:c r="C56" s="1"/>
      <x:c r="D56" s="1"/>
      <x:c r="E56" s="1"/>
      <x:c r="F56" s="1"/>
      <x:c r="G56" s="1"/>
      <x:c r="H56" s="1"/>
      <x:c r="I56" s="1"/>
      <x:c r="J56" s="1"/>
      <x:c r="K56" s="1"/>
      <x:c r="L56" s="1"/>
      <x:c r="M56" s="1"/>
      <x:c r="N56" s="1"/>
      <x:c r="O56" s="1"/>
      <x:c r="P56" s="1"/>
      <x:c r="Q56" s="1"/>
      <x:c r="R56" s="1"/>
      <x:c r="S56" s="1"/>
      <x:c r="T56" s="1"/>
      <x:c r="U56" s="1"/>
    </x:row>
    <x:row r="57">
      <x:c r="A57" s="1"/>
      <x:c r="B57" s="1"/>
      <x:c r="C57" s="1"/>
      <x:c r="D57" s="1"/>
      <x:c r="E57" s="1"/>
      <x:c r="F57" s="1"/>
      <x:c r="G57" s="1"/>
      <x:c r="H57" s="1"/>
      <x:c r="I57" s="1"/>
      <x:c r="J57" s="1"/>
      <x:c r="K57" s="1"/>
      <x:c r="L57" s="1"/>
      <x:c r="M57" s="1"/>
      <x:c r="N57" s="1"/>
      <x:c r="O57" s="1"/>
      <x:c r="P57" s="1"/>
      <x:c r="Q57" s="1"/>
      <x:c r="R57" s="1"/>
      <x:c r="S57" s="1"/>
      <x:c r="T57" s="1"/>
      <x:c r="U57" s="1"/>
    </x:row>
    <x:row r="58">
      <x:c r="A58" s="1"/>
      <x:c r="B58" s="1"/>
      <x:c r="C58" s="1"/>
      <x:c r="D58" s="1"/>
      <x:c r="E58" s="1"/>
      <x:c r="F58" s="1"/>
      <x:c r="G58" s="1"/>
      <x:c r="H58" s="1"/>
      <x:c r="I58" s="1"/>
      <x:c r="J58" s="1"/>
      <x:c r="K58" s="1"/>
      <x:c r="L58" s="1"/>
      <x:c r="M58" s="1"/>
      <x:c r="N58" s="1"/>
      <x:c r="O58" s="1"/>
      <x:c r="P58" s="1"/>
      <x:c r="Q58" s="1"/>
      <x:c r="R58" s="1"/>
      <x:c r="S58" s="1"/>
      <x:c r="T58" s="1"/>
      <x:c r="U58" s="1"/>
    </x:row>
    <x:row r="59">
      <x:c r="A59" s="1"/>
      <x:c r="B59" s="1"/>
      <x:c r="C59" s="1"/>
      <x:c r="D59" s="1"/>
      <x:c r="E59" s="1"/>
      <x:c r="F59" s="1"/>
      <x:c r="G59" s="1"/>
      <x:c r="H59" s="1"/>
      <x:c r="I59" s="1"/>
      <x:c r="J59" s="1"/>
      <x:c r="K59" s="1"/>
      <x:c r="L59" s="1"/>
      <x:c r="M59" s="1"/>
      <x:c r="N59" s="1"/>
      <x:c r="O59" s="1"/>
      <x:c r="P59" s="1"/>
      <x:c r="Q59" s="1"/>
      <x:c r="R59" s="1"/>
      <x:c r="S59" s="1"/>
      <x:c r="T59" s="1"/>
      <x:c r="U59" s="1"/>
    </x:row>
    <x:row r="60">
      <x:c r="A60" s="1"/>
      <x:c r="B60" s="1"/>
      <x:c r="C60" s="1"/>
      <x:c r="D60" s="1"/>
      <x:c r="E60" s="1"/>
      <x:c r="F60" s="1"/>
      <x:c r="G60" s="1"/>
      <x:c r="H60" s="1"/>
      <x:c r="I60" s="1"/>
      <x:c r="J60" s="1"/>
      <x:c r="K60" s="1"/>
      <x:c r="L60" s="1"/>
      <x:c r="M60" s="1"/>
      <x:c r="N60" s="1"/>
      <x:c r="O60" s="1"/>
      <x:c r="P60" s="1"/>
      <x:c r="Q60" s="1"/>
      <x:c r="R60" s="1"/>
      <x:c r="S60" s="1"/>
      <x:c r="T60" s="1"/>
      <x:c r="U60" s="1"/>
    </x:row>
    <x:row r="61">
      <x:c r="A61" s="1"/>
      <x:c r="B61" s="1"/>
      <x:c r="C61" s="1"/>
      <x:c r="D61" s="1"/>
      <x:c r="E61" s="1"/>
      <x:c r="F61" s="1"/>
      <x:c r="G61" s="1"/>
      <x:c r="H61" s="1"/>
      <x:c r="I61" s="1"/>
      <x:c r="J61" s="1"/>
      <x:c r="K61" s="1"/>
      <x:c r="L61" s="1"/>
      <x:c r="M61" s="1"/>
      <x:c r="N61" s="1"/>
      <x:c r="O61" s="1"/>
      <x:c r="P61" s="1"/>
      <x:c r="Q61" s="1"/>
      <x:c r="R61" s="1"/>
      <x:c r="S61" s="1"/>
      <x:c r="T61" s="1"/>
      <x:c r="U61" s="1"/>
    </x:row>
    <x:row r="62">
      <x:c r="A62" s="1"/>
      <x:c r="B62" s="1"/>
      <x:c r="C62" s="1"/>
      <x:c r="D62" s="1"/>
      <x:c r="E62" s="1"/>
      <x:c r="F62" s="1"/>
      <x:c r="G62" s="1"/>
      <x:c r="H62" s="1"/>
      <x:c r="I62" s="1"/>
      <x:c r="J62" s="1"/>
      <x:c r="K62" s="1"/>
      <x:c r="L62" s="1"/>
      <x:c r="M62" s="1"/>
      <x:c r="N62" s="1"/>
      <x:c r="O62" s="1"/>
      <x:c r="P62" s="1"/>
      <x:c r="Q62" s="1"/>
      <x:c r="R62" s="1"/>
      <x:c r="S62" s="1"/>
      <x:c r="T62" s="1"/>
      <x:c r="U62" s="1"/>
    </x:row>
    <x:row r="63">
      <x:c r="A63" s="1"/>
      <x:c r="B63" s="1"/>
      <x:c r="C63" s="1"/>
      <x:c r="D63" s="1"/>
      <x:c r="E63" s="1"/>
      <x:c r="F63" s="1"/>
      <x:c r="G63" s="1"/>
      <x:c r="H63" s="1"/>
      <x:c r="I63" s="1"/>
      <x:c r="J63" s="1"/>
      <x:c r="K63" s="1"/>
      <x:c r="L63" s="1"/>
      <x:c r="M63" s="1"/>
      <x:c r="N63" s="1"/>
      <x:c r="O63" s="1"/>
      <x:c r="P63" s="1"/>
      <x:c r="Q63" s="1"/>
      <x:c r="R63" s="1"/>
      <x:c r="S63" s="1"/>
      <x:c r="T63" s="1"/>
      <x:c r="U63" s="1"/>
    </x:row>
    <x:row r="64">
      <x:c r="A64" s="1"/>
      <x:c r="B64" s="1"/>
      <x:c r="C64" s="1"/>
      <x:c r="D64" s="1"/>
      <x:c r="E64" s="1"/>
      <x:c r="F64" s="1"/>
      <x:c r="G64" s="1"/>
      <x:c r="H64" s="1"/>
      <x:c r="I64" s="1"/>
      <x:c r="J64" s="1"/>
      <x:c r="K64" s="1"/>
      <x:c r="L64" s="1"/>
      <x:c r="M64" s="1"/>
      <x:c r="N64" s="1"/>
      <x:c r="O64" s="1"/>
      <x:c r="P64" s="1"/>
      <x:c r="Q64" s="1"/>
      <x:c r="R64" s="1"/>
      <x:c r="S64" s="1"/>
      <x:c r="T64" s="1"/>
      <x:c r="U64" s="1"/>
    </x:row>
    <x:row r="65">
      <x:c r="A65" s="1"/>
      <x:c r="B65" s="1"/>
      <x:c r="C65" s="1"/>
      <x:c r="D65" s="1"/>
      <x:c r="E65" s="1"/>
      <x:c r="F65" s="1"/>
      <x:c r="G65" s="1"/>
      <x:c r="H65" s="1"/>
      <x:c r="I65" s="1"/>
      <x:c r="J65" s="1"/>
      <x:c r="K65" s="1"/>
      <x:c r="L65" s="1"/>
      <x:c r="M65" s="1"/>
      <x:c r="N65" s="1"/>
      <x:c r="O65" s="1"/>
      <x:c r="P65" s="1"/>
      <x:c r="Q65" s="1"/>
      <x:c r="R65" s="1"/>
      <x:c r="S65" s="1"/>
      <x:c r="T65" s="1"/>
      <x:c r="U65" s="1"/>
    </x:row>
    <x:row r="66">
      <x:c r="A66" s="1"/>
      <x:c r="B66" s="1"/>
      <x:c r="C66" s="1"/>
      <x:c r="D66" s="1"/>
      <x:c r="E66" s="1"/>
      <x:c r="F66" s="1"/>
      <x:c r="G66" s="1"/>
      <x:c r="H66" s="1"/>
      <x:c r="I66" s="1"/>
      <x:c r="J66" s="1"/>
      <x:c r="K66" s="1"/>
      <x:c r="L66" s="1"/>
      <x:c r="M66" s="1"/>
      <x:c r="N66" s="1"/>
      <x:c r="O66" s="1"/>
      <x:c r="P66" s="1"/>
      <x:c r="Q66" s="1"/>
      <x:c r="R66" s="1"/>
      <x:c r="S66" s="1"/>
      <x:c r="T66" s="1"/>
      <x:c r="U66" s="1"/>
    </x:row>
    <x:row r="67">
      <x:c r="A67" s="1"/>
      <x:c r="B67" s="1"/>
      <x:c r="C67" s="1"/>
      <x:c r="D67" s="1"/>
      <x:c r="E67" s="1"/>
      <x:c r="F67" s="1"/>
      <x:c r="G67" s="1"/>
      <x:c r="H67" s="1"/>
      <x:c r="I67" s="1"/>
      <x:c r="J67" s="1"/>
      <x:c r="K67" s="1"/>
      <x:c r="L67" s="1"/>
      <x:c r="M67" s="1"/>
      <x:c r="N67" s="1"/>
      <x:c r="O67" s="1"/>
      <x:c r="P67" s="1"/>
      <x:c r="Q67" s="1"/>
      <x:c r="R67" s="1"/>
      <x:c r="S67" s="1"/>
      <x:c r="T67" s="1"/>
      <x:c r="U67" s="1"/>
    </x:row>
    <x:row r="68">
      <x:c r="A68" s="1"/>
      <x:c r="B68" s="1"/>
      <x:c r="C68" s="1"/>
      <x:c r="D68" s="1"/>
      <x:c r="E68" s="1"/>
      <x:c r="F68" s="1"/>
      <x:c r="G68" s="1"/>
      <x:c r="H68" s="1"/>
      <x:c r="I68" s="1"/>
      <x:c r="J68" s="1"/>
      <x:c r="K68" s="1"/>
      <x:c r="L68" s="1"/>
      <x:c r="M68" s="1"/>
      <x:c r="N68" s="1"/>
      <x:c r="O68" s="1"/>
      <x:c r="P68" s="1"/>
      <x:c r="Q68" s="1"/>
      <x:c r="R68" s="1"/>
      <x:c r="S68" s="1"/>
      <x:c r="T68" s="1"/>
      <x:c r="U68" s="1"/>
    </x:row>
    <x:row r="69">
      <x:c r="A69" s="1"/>
      <x:c r="B69" s="1"/>
      <x:c r="C69" s="1"/>
      <x:c r="D69" s="1"/>
      <x:c r="E69" s="1"/>
      <x:c r="F69" s="1"/>
      <x:c r="G69" s="1"/>
      <x:c r="H69" s="1"/>
      <x:c r="I69" s="1"/>
      <x:c r="J69" s="1"/>
      <x:c r="K69" s="1"/>
      <x:c r="L69" s="1"/>
      <x:c r="M69" s="1"/>
      <x:c r="N69" s="1"/>
      <x:c r="O69" s="1"/>
      <x:c r="P69" s="1"/>
      <x:c r="Q69" s="1"/>
      <x:c r="R69" s="1"/>
      <x:c r="S69" s="1"/>
      <x:c r="T69" s="1"/>
      <x:c r="U69" s="1"/>
    </x:row>
    <x:row r="70">
      <x:c r="A70" s="1"/>
      <x:c r="B70" s="1"/>
      <x:c r="C70" s="1"/>
      <x:c r="D70" s="1"/>
      <x:c r="E70" s="1"/>
      <x:c r="F70" s="1"/>
      <x:c r="G70" s="1"/>
      <x:c r="H70" s="1"/>
      <x:c r="I70" s="1"/>
      <x:c r="J70" s="1"/>
      <x:c r="K70" s="1"/>
      <x:c r="L70" s="1"/>
      <x:c r="M70" s="1"/>
      <x:c r="N70" s="1"/>
      <x:c r="O70" s="1"/>
      <x:c r="P70" s="1"/>
      <x:c r="Q70" s="1"/>
      <x:c r="R70" s="1"/>
      <x:c r="S70" s="1"/>
      <x:c r="T70" s="1"/>
      <x:c r="U70" s="1"/>
    </x:row>
    <x:row r="71">
      <x:c r="A71" s="1"/>
      <x:c r="B71" s="1"/>
      <x:c r="C71" s="1"/>
      <x:c r="D71" s="1"/>
      <x:c r="E71" s="1"/>
      <x:c r="F71" s="1"/>
      <x:c r="G71" s="1"/>
      <x:c r="H71" s="1"/>
      <x:c r="I71" s="1"/>
      <x:c r="J71" s="1"/>
      <x:c r="K71" s="1"/>
      <x:c r="L71" s="1"/>
      <x:c r="M71" s="1"/>
      <x:c r="N71" s="1"/>
      <x:c r="O71" s="1"/>
      <x:c r="P71" s="1"/>
      <x:c r="Q71" s="1"/>
      <x:c r="R71" s="1"/>
      <x:c r="S71" s="1"/>
      <x:c r="T71" s="1"/>
      <x:c r="U71" s="1"/>
    </x:row>
    <x:row r="72">
      <x:c r="A72" s="1"/>
      <x:c r="B72" s="1"/>
      <x:c r="C72" s="1"/>
      <x:c r="D72" s="1"/>
      <x:c r="E72" s="1"/>
      <x:c r="F72" s="1"/>
      <x:c r="G72" s="1"/>
      <x:c r="H72" s="1"/>
      <x:c r="I72" s="1"/>
      <x:c r="J72" s="1"/>
      <x:c r="K72" s="1"/>
      <x:c r="L72" s="1"/>
      <x:c r="M72" s="1"/>
      <x:c r="N72" s="1"/>
      <x:c r="O72" s="1"/>
      <x:c r="P72" s="1"/>
      <x:c r="Q72" s="1"/>
      <x:c r="R72" s="1"/>
      <x:c r="S72" s="1"/>
      <x:c r="T72" s="1"/>
      <x:c r="U72" s="1"/>
    </x:row>
    <x:row r="73">
      <x:c r="A73" s="1"/>
      <x:c r="B73" s="1"/>
      <x:c r="C73" s="1"/>
      <x:c r="D73" s="1"/>
      <x:c r="E73" s="1"/>
      <x:c r="F73" s="1"/>
      <x:c r="G73" s="1"/>
      <x:c r="H73" s="1"/>
      <x:c r="I73" s="1"/>
      <x:c r="J73" s="1"/>
      <x:c r="K73" s="1"/>
      <x:c r="L73" s="1"/>
      <x:c r="M73" s="1"/>
      <x:c r="N73" s="1"/>
      <x:c r="O73" s="1"/>
      <x:c r="P73" s="1"/>
      <x:c r="Q73" s="1"/>
      <x:c r="R73" s="1"/>
      <x:c r="S73" s="1"/>
      <x:c r="T73" s="1"/>
      <x:c r="U73" s="1"/>
    </x:row>
    <x:row r="74">
      <x:c r="A74" s="1"/>
      <x:c r="B74" s="1"/>
      <x:c r="C74" s="1"/>
      <x:c r="D74" s="1"/>
      <x:c r="E74" s="1"/>
      <x:c r="F74" s="1"/>
      <x:c r="G74" s="1"/>
      <x:c r="H74" s="1"/>
      <x:c r="I74" s="1"/>
      <x:c r="J74" s="1"/>
      <x:c r="K74" s="1"/>
      <x:c r="L74" s="1"/>
      <x:c r="M74" s="1"/>
      <x:c r="N74" s="1"/>
      <x:c r="O74" s="1"/>
      <x:c r="P74" s="1"/>
      <x:c r="Q74" s="1"/>
      <x:c r="R74" s="1"/>
      <x:c r="S74" s="1"/>
      <x:c r="T74" s="1"/>
      <x:c r="U74" s="1"/>
    </x:row>
    <x:row r="75">
      <x:c r="A75" s="1"/>
      <x:c r="B75" s="1"/>
      <x:c r="C75" s="1"/>
      <x:c r="D75" s="1"/>
      <x:c r="E75" s="1"/>
      <x:c r="F75" s="1"/>
      <x:c r="G75" s="1"/>
      <x:c r="H75" s="1"/>
      <x:c r="I75" s="1"/>
      <x:c r="J75" s="1"/>
      <x:c r="K75" s="1"/>
      <x:c r="L75" s="1"/>
      <x:c r="M75" s="1"/>
      <x:c r="N75" s="1"/>
      <x:c r="O75" s="1"/>
      <x:c r="P75" s="1"/>
      <x:c r="Q75" s="1"/>
      <x:c r="R75" s="1"/>
      <x:c r="S75" s="1"/>
      <x:c r="T75" s="1"/>
      <x:c r="U75" s="1"/>
    </x:row>
    <x:row r="76">
      <x:c r="A76" s="1"/>
      <x:c r="B76" s="1"/>
      <x:c r="C76" s="1"/>
      <x:c r="D76" s="1"/>
      <x:c r="E76" s="1"/>
      <x:c r="F76" s="1"/>
      <x:c r="G76" s="1"/>
      <x:c r="H76" s="1"/>
      <x:c r="I76" s="1"/>
      <x:c r="J76" s="1"/>
      <x:c r="K76" s="1"/>
      <x:c r="L76" s="1"/>
      <x:c r="M76" s="1"/>
      <x:c r="N76" s="1"/>
      <x:c r="O76" s="1"/>
      <x:c r="P76" s="1"/>
      <x:c r="Q76" s="1"/>
      <x:c r="R76" s="1"/>
      <x:c r="S76" s="1"/>
      <x:c r="T76" s="1"/>
      <x:c r="U76" s="1"/>
    </x:row>
    <x:row r="77">
      <x:c r="A77" s="1"/>
      <x:c r="B77" s="1"/>
      <x:c r="C77" s="1"/>
      <x:c r="D77" s="1"/>
      <x:c r="E77" s="1"/>
      <x:c r="F77" s="1"/>
      <x:c r="G77" s="1"/>
      <x:c r="H77" s="1"/>
      <x:c r="I77" s="1"/>
      <x:c r="J77" s="1"/>
      <x:c r="K77" s="1"/>
      <x:c r="L77" s="1"/>
      <x:c r="M77" s="1"/>
      <x:c r="N77" s="1"/>
      <x:c r="O77" s="1"/>
      <x:c r="P77" s="1"/>
      <x:c r="Q77" s="1"/>
      <x:c r="R77" s="1"/>
      <x:c r="S77" s="1"/>
      <x:c r="T77" s="1"/>
      <x:c r="U77" s="1"/>
    </x:row>
    <x:row r="78">
      <x:c r="A78" s="1"/>
      <x:c r="B78" s="1"/>
      <x:c r="C78" s="1"/>
      <x:c r="D78" s="1"/>
      <x:c r="E78" s="1"/>
      <x:c r="F78" s="1"/>
      <x:c r="G78" s="1"/>
      <x:c r="H78" s="1"/>
      <x:c r="I78" s="1"/>
      <x:c r="J78" s="1"/>
      <x:c r="K78" s="1"/>
      <x:c r="L78" s="1"/>
      <x:c r="M78" s="1"/>
      <x:c r="N78" s="1"/>
      <x:c r="O78" s="1"/>
      <x:c r="P78" s="1"/>
      <x:c r="Q78" s="1"/>
      <x:c r="R78" s="1"/>
      <x:c r="S78" s="1"/>
      <x:c r="T78" s="1"/>
      <x:c r="U78" s="1"/>
    </x:row>
    <x:row r="79">
      <x:c r="A79" s="1"/>
      <x:c r="B79" s="1"/>
      <x:c r="C79" s="1"/>
      <x:c r="D79" s="1"/>
      <x:c r="E79" s="1"/>
      <x:c r="F79" s="1"/>
      <x:c r="G79" s="1"/>
      <x:c r="H79" s="1"/>
      <x:c r="I79" s="1"/>
      <x:c r="J79" s="1"/>
      <x:c r="K79" s="1"/>
      <x:c r="L79" s="1"/>
      <x:c r="M79" s="1"/>
      <x:c r="N79" s="1"/>
      <x:c r="O79" s="1"/>
      <x:c r="P79" s="1"/>
      <x:c r="Q79" s="1"/>
      <x:c r="R79" s="1"/>
      <x:c r="S79" s="1"/>
      <x:c r="T79" s="1"/>
      <x:c r="U79" s="1"/>
    </x:row>
    <x:row r="80">
      <x:c r="A80" s="1"/>
      <x:c r="B80" s="1"/>
      <x:c r="C80" s="1"/>
      <x:c r="D80" s="1"/>
      <x:c r="E80" s="1"/>
      <x:c r="F80" s="1"/>
      <x:c r="G80" s="1"/>
      <x:c r="H80" s="1"/>
      <x:c r="I80" s="1"/>
      <x:c r="J80" s="1"/>
      <x:c r="K80" s="1"/>
      <x:c r="L80" s="1"/>
      <x:c r="M80" s="1"/>
      <x:c r="N80" s="1"/>
      <x:c r="O80" s="1"/>
      <x:c r="P80" s="1"/>
      <x:c r="Q80" s="1"/>
      <x:c r="R80" s="1"/>
      <x:c r="S80" s="1"/>
      <x:c r="T80" s="1"/>
      <x:c r="U80" s="1"/>
    </x:row>
    <x:row r="81">
      <x:c r="A81" s="1"/>
      <x:c r="B81" s="1"/>
      <x:c r="C81" s="1"/>
      <x:c r="D81" s="1"/>
      <x:c r="E81" s="1"/>
      <x:c r="F81" s="1"/>
      <x:c r="G81" s="1"/>
      <x:c r="H81" s="1"/>
      <x:c r="I81" s="1"/>
      <x:c r="J81" s="1"/>
      <x:c r="K81" s="1"/>
      <x:c r="L81" s="1"/>
      <x:c r="M81" s="1"/>
      <x:c r="N81" s="1"/>
      <x:c r="O81" s="1"/>
      <x:c r="P81" s="1"/>
      <x:c r="Q81" s="1"/>
      <x:c r="R81" s="1"/>
      <x:c r="S81" s="1"/>
      <x:c r="T81" s="1"/>
      <x:c r="U81" s="1"/>
    </x:row>
    <x:row r="82">
      <x:c r="A82" s="1"/>
      <x:c r="B82" s="1"/>
      <x:c r="C82" s="1"/>
      <x:c r="D82" s="1"/>
      <x:c r="E82" s="1"/>
      <x:c r="F82" s="1"/>
      <x:c r="G82" s="1"/>
      <x:c r="H82" s="1"/>
      <x:c r="I82" s="1"/>
      <x:c r="J82" s="1"/>
      <x:c r="K82" s="1"/>
      <x:c r="L82" s="1"/>
      <x:c r="M82" s="1"/>
      <x:c r="N82" s="1"/>
      <x:c r="O82" s="1"/>
      <x:c r="P82" s="1"/>
      <x:c r="Q82" s="1"/>
      <x:c r="R82" s="1"/>
      <x:c r="S82" s="1"/>
      <x:c r="T82" s="1"/>
      <x:c r="U82" s="1"/>
    </x:row>
    <x:row r="83">
      <x:c r="A83" s="1"/>
      <x:c r="B83" s="1"/>
      <x:c r="C83" s="1"/>
      <x:c r="D83" s="1"/>
      <x:c r="E83" s="1"/>
      <x:c r="F83" s="1"/>
      <x:c r="G83" s="1"/>
      <x:c r="H83" s="1"/>
      <x:c r="I83" s="1"/>
      <x:c r="J83" s="1"/>
      <x:c r="K83" s="1"/>
      <x:c r="L83" s="1"/>
      <x:c r="M83" s="1"/>
      <x:c r="N83" s="1"/>
      <x:c r="O83" s="1"/>
      <x:c r="P83" s="1"/>
      <x:c r="Q83" s="1"/>
      <x:c r="R83" s="1"/>
      <x:c r="S83" s="1"/>
      <x:c r="T83" s="1"/>
      <x:c r="U83" s="1"/>
    </x:row>
    <x:row r="84">
      <x:c r="A84" s="1"/>
      <x:c r="B84" s="1"/>
      <x:c r="C84" s="1"/>
      <x:c r="D84" s="1"/>
      <x:c r="E84" s="1"/>
      <x:c r="F84" s="1"/>
      <x:c r="G84" s="1"/>
      <x:c r="H84" s="1"/>
      <x:c r="I84" s="1"/>
      <x:c r="J84" s="1"/>
      <x:c r="K84" s="1"/>
      <x:c r="L84" s="1"/>
      <x:c r="M84" s="1"/>
      <x:c r="N84" s="1"/>
      <x:c r="O84" s="1"/>
      <x:c r="P84" s="1"/>
      <x:c r="Q84" s="1"/>
      <x:c r="R84" s="1"/>
      <x:c r="S84" s="1"/>
      <x:c r="T84" s="1"/>
      <x:c r="U84" s="1"/>
    </x:row>
    <x:row r="85">
      <x:c r="A85" s="1"/>
      <x:c r="B85" s="1"/>
      <x:c r="C85" s="1"/>
      <x:c r="D85" s="1"/>
      <x:c r="E85" s="1"/>
      <x:c r="F85" s="1"/>
      <x:c r="G85" s="1"/>
      <x:c r="H85" s="1"/>
      <x:c r="I85" s="1"/>
      <x:c r="J85" s="1"/>
      <x:c r="K85" s="1"/>
      <x:c r="L85" s="1"/>
      <x:c r="M85" s="1"/>
      <x:c r="N85" s="1"/>
      <x:c r="O85" s="1"/>
      <x:c r="P85" s="1"/>
      <x:c r="Q85" s="1"/>
      <x:c r="R85" s="1"/>
      <x:c r="S85" s="1"/>
      <x:c r="T85" s="1"/>
      <x:c r="U85" s="1"/>
    </x:row>
    <x:row r="86">
      <x:c r="A86" s="1"/>
      <x:c r="B86" s="1"/>
      <x:c r="C86" s="1"/>
      <x:c r="D86" s="1"/>
      <x:c r="E86" s="1"/>
      <x:c r="F86" s="1"/>
      <x:c r="G86" s="1"/>
      <x:c r="H86" s="1"/>
      <x:c r="I86" s="1"/>
      <x:c r="J86" s="1"/>
      <x:c r="K86" s="1"/>
      <x:c r="L86" s="1"/>
      <x:c r="M86" s="1"/>
      <x:c r="N86" s="1"/>
      <x:c r="O86" s="1"/>
      <x:c r="P86" s="1"/>
      <x:c r="Q86" s="1"/>
      <x:c r="R86" s="1"/>
      <x:c r="S86" s="1"/>
      <x:c r="T86" s="1"/>
      <x:c r="U86" s="1"/>
    </x:row>
    <x:row r="87">
      <x:c r="A87" s="1"/>
      <x:c r="B87" s="1"/>
      <x:c r="C87" s="1"/>
      <x:c r="D87" s="1"/>
      <x:c r="E87" s="1"/>
      <x:c r="F87" s="1"/>
      <x:c r="G87" s="1"/>
      <x:c r="H87" s="1"/>
      <x:c r="I87" s="1"/>
      <x:c r="J87" s="1"/>
      <x:c r="K87" s="1"/>
      <x:c r="L87" s="1"/>
      <x:c r="M87" s="1"/>
      <x:c r="N87" s="1"/>
      <x:c r="O87" s="1"/>
      <x:c r="P87" s="1"/>
      <x:c r="Q87" s="1"/>
      <x:c r="R87" s="1"/>
      <x:c r="S87" s="1"/>
      <x:c r="T87" s="1"/>
      <x:c r="U87" s="1"/>
    </x:row>
    <x:row r="88">
      <x:c r="A88" s="1"/>
      <x:c r="B88" s="1"/>
      <x:c r="C88" s="1"/>
      <x:c r="D88" s="1"/>
      <x:c r="E88" s="1"/>
      <x:c r="F88" s="1"/>
      <x:c r="G88" s="1"/>
      <x:c r="H88" s="1"/>
      <x:c r="I88" s="1"/>
      <x:c r="J88" s="1"/>
      <x:c r="K88" s="1"/>
      <x:c r="L88" s="1"/>
      <x:c r="M88" s="1"/>
      <x:c r="N88" s="1"/>
      <x:c r="O88" s="1"/>
      <x:c r="P88" s="1"/>
      <x:c r="Q88" s="1"/>
      <x:c r="R88" s="1"/>
      <x:c r="S88" s="1"/>
      <x:c r="T88" s="1"/>
      <x:c r="U88" s="1"/>
    </x:row>
    <x:row r="89">
      <x:c r="A89" s="1"/>
      <x:c r="B89" s="1"/>
      <x:c r="C89" s="1"/>
      <x:c r="D89" s="1"/>
      <x:c r="E89" s="1"/>
      <x:c r="F89" s="1"/>
      <x:c r="G89" s="1"/>
      <x:c r="H89" s="1"/>
      <x:c r="I89" s="1"/>
      <x:c r="J89" s="1"/>
      <x:c r="K89" s="1"/>
      <x:c r="L89" s="1"/>
      <x:c r="M89" s="1"/>
      <x:c r="N89" s="1"/>
      <x:c r="O89" s="1"/>
      <x:c r="P89" s="1"/>
      <x:c r="Q89" s="1"/>
      <x:c r="R89" s="1"/>
      <x:c r="S89" s="1"/>
      <x:c r="T89" s="1"/>
      <x:c r="U89" s="1"/>
    </x:row>
    <x:row r="90">
      <x:c r="A90" s="1"/>
      <x:c r="B90" s="1"/>
      <x:c r="C90" s="1"/>
      <x:c r="D90" s="1"/>
      <x:c r="E90" s="1"/>
      <x:c r="F90" s="1"/>
      <x:c r="G90" s="1"/>
      <x:c r="H90" s="1"/>
      <x:c r="I90" s="1"/>
      <x:c r="J90" s="1"/>
      <x:c r="K90" s="1"/>
      <x:c r="L90" s="1"/>
      <x:c r="M90" s="1"/>
      <x:c r="N90" s="1"/>
      <x:c r="O90" s="1"/>
      <x:c r="P90" s="1"/>
      <x:c r="Q90" s="1"/>
      <x:c r="R90" s="1"/>
      <x:c r="S90" s="1"/>
      <x:c r="T90" s="1"/>
      <x:c r="U90" s="1"/>
    </x:row>
    <x:row r="91">
      <x:c r="A91" s="1"/>
      <x:c r="B91" s="1"/>
      <x:c r="C91" s="1"/>
      <x:c r="D91" s="1"/>
      <x:c r="E91" s="1"/>
      <x:c r="F91" s="1"/>
      <x:c r="G91" s="1"/>
      <x:c r="H91" s="1"/>
      <x:c r="I91" s="1"/>
      <x:c r="J91" s="1"/>
      <x:c r="K91" s="1"/>
      <x:c r="L91" s="1"/>
      <x:c r="M91" s="1"/>
      <x:c r="N91" s="1"/>
      <x:c r="O91" s="1"/>
      <x:c r="P91" s="1"/>
      <x:c r="Q91" s="1"/>
      <x:c r="R91" s="1"/>
      <x:c r="S91" s="1"/>
      <x:c r="T91" s="1"/>
      <x:c r="U91" s="1"/>
    </x:row>
    <x:row r="92">
      <x:c r="A92" s="1"/>
      <x:c r="B92" s="1"/>
      <x:c r="C92" s="1"/>
      <x:c r="D92" s="1"/>
      <x:c r="E92" s="1"/>
      <x:c r="F92" s="1"/>
      <x:c r="G92" s="1"/>
      <x:c r="H92" s="1"/>
      <x:c r="I92" s="1"/>
      <x:c r="J92" s="1"/>
      <x:c r="K92" s="1"/>
      <x:c r="L92" s="1"/>
      <x:c r="M92" s="1"/>
      <x:c r="N92" s="1"/>
      <x:c r="O92" s="1"/>
      <x:c r="P92" s="1"/>
      <x:c r="Q92" s="1"/>
      <x:c r="R92" s="1"/>
      <x:c r="S92" s="1"/>
      <x:c r="T92" s="1"/>
      <x:c r="U92" s="1"/>
    </x:row>
    <x:row r="93">
      <x:c r="A93" s="1"/>
      <x:c r="B93" s="1"/>
      <x:c r="C93" s="1"/>
      <x:c r="D93" s="1"/>
      <x:c r="E93" s="1"/>
      <x:c r="F93" s="1"/>
      <x:c r="G93" s="1"/>
      <x:c r="H93" s="1"/>
      <x:c r="I93" s="1"/>
      <x:c r="J93" s="1"/>
      <x:c r="K93" s="1"/>
      <x:c r="L93" s="1"/>
      <x:c r="M93" s="1"/>
      <x:c r="N93" s="1"/>
      <x:c r="O93" s="1"/>
      <x:c r="P93" s="1"/>
      <x:c r="Q93" s="1"/>
      <x:c r="R93" s="1"/>
      <x:c r="S93" s="1"/>
      <x:c r="T93" s="1"/>
      <x:c r="U93" s="1"/>
    </x:row>
    <x:row r="94">
      <x:c r="A94" s="1"/>
      <x:c r="B94" s="1"/>
      <x:c r="C94" s="1"/>
      <x:c r="D94" s="1"/>
      <x:c r="E94" s="1"/>
      <x:c r="F94" s="1"/>
      <x:c r="G94" s="1"/>
      <x:c r="H94" s="1"/>
      <x:c r="I94" s="1"/>
      <x:c r="J94" s="1"/>
      <x:c r="K94" s="1"/>
      <x:c r="L94" s="1"/>
      <x:c r="M94" s="1"/>
      <x:c r="N94" s="1"/>
      <x:c r="O94" s="1"/>
      <x:c r="P94" s="1"/>
      <x:c r="Q94" s="1"/>
      <x:c r="R94" s="1"/>
      <x:c r="S94" s="1"/>
      <x:c r="T94" s="1"/>
      <x:c r="U94" s="1"/>
    </x:row>
    <x:row r="95">
      <x:c r="A95" s="1"/>
      <x:c r="B95" s="1"/>
      <x:c r="C95" s="1"/>
      <x:c r="D95" s="1"/>
      <x:c r="E95" s="1"/>
      <x:c r="F95" s="1"/>
      <x:c r="G95" s="1"/>
      <x:c r="H95" s="1"/>
      <x:c r="I95" s="1"/>
      <x:c r="J95" s="1"/>
      <x:c r="K95" s="1"/>
      <x:c r="L95" s="1"/>
      <x:c r="M95" s="1"/>
      <x:c r="N95" s="1"/>
      <x:c r="O95" s="1"/>
      <x:c r="P95" s="1"/>
      <x:c r="Q95" s="1"/>
      <x:c r="R95" s="1"/>
      <x:c r="S95" s="1"/>
      <x:c r="T95" s="1"/>
      <x:c r="U95" s="1"/>
    </x:row>
    <x:row r="96">
      <x:c r="A96" s="1"/>
      <x:c r="B96" s="1"/>
      <x:c r="C96" s="1"/>
      <x:c r="D96" s="1"/>
      <x:c r="E96" s="1"/>
      <x:c r="F96" s="1"/>
      <x:c r="G96" s="1"/>
      <x:c r="H96" s="1"/>
      <x:c r="I96" s="1"/>
      <x:c r="J96" s="1"/>
      <x:c r="K96" s="1"/>
      <x:c r="L96" s="1"/>
      <x:c r="M96" s="1"/>
      <x:c r="N96" s="1"/>
      <x:c r="O96" s="1"/>
      <x:c r="P96" s="1"/>
      <x:c r="Q96" s="1"/>
      <x:c r="R96" s="1"/>
      <x:c r="S96" s="1"/>
      <x:c r="T96" s="1"/>
      <x:c r="U96" s="1"/>
    </x:row>
    <x:row r="97">
      <x:c r="A97" s="1"/>
      <x:c r="B97" s="1"/>
      <x:c r="C97" s="1"/>
      <x:c r="D97" s="1"/>
      <x:c r="E97" s="1"/>
      <x:c r="F97" s="1"/>
      <x:c r="G97" s="1"/>
      <x:c r="H97" s="1"/>
      <x:c r="I97" s="1"/>
      <x:c r="J97" s="1"/>
      <x:c r="K97" s="1"/>
      <x:c r="L97" s="1"/>
      <x:c r="M97" s="1"/>
      <x:c r="N97" s="1"/>
      <x:c r="O97" s="1"/>
      <x:c r="P97" s="1"/>
      <x:c r="Q97" s="1"/>
      <x:c r="R97" s="1"/>
      <x:c r="S97" s="1"/>
      <x:c r="T97" s="1"/>
      <x:c r="U97" s="1"/>
    </x:row>
    <x:row r="98">
      <x:c r="A98" s="1"/>
      <x:c r="B98" s="1"/>
      <x:c r="C98" s="1"/>
      <x:c r="D98" s="1"/>
      <x:c r="E98" s="1"/>
      <x:c r="F98" s="1"/>
      <x:c r="G98" s="1"/>
      <x:c r="H98" s="1"/>
      <x:c r="I98" s="1"/>
      <x:c r="J98" s="1"/>
      <x:c r="K98" s="1"/>
      <x:c r="L98" s="1"/>
      <x:c r="M98" s="1"/>
      <x:c r="N98" s="1"/>
      <x:c r="O98" s="1"/>
      <x:c r="P98" s="1"/>
      <x:c r="Q98" s="1"/>
      <x:c r="R98" s="1"/>
      <x:c r="S98" s="1"/>
      <x:c r="T98" s="1"/>
      <x:c r="U98" s="1"/>
    </x:row>
    <x:row r="99">
      <x:c r="A99" s="1"/>
      <x:c r="B99" s="1"/>
      <x:c r="C99" s="1"/>
      <x:c r="D99" s="1"/>
      <x:c r="E99" s="1"/>
      <x:c r="F99" s="1"/>
      <x:c r="G99" s="1"/>
      <x:c r="H99" s="1"/>
      <x:c r="I99" s="1"/>
      <x:c r="J99" s="1"/>
      <x:c r="K99" s="1"/>
      <x:c r="L99" s="1"/>
      <x:c r="M99" s="1"/>
      <x:c r="N99" s="1"/>
      <x:c r="O99" s="1"/>
      <x:c r="P99" s="1"/>
      <x:c r="Q99" s="1"/>
      <x:c r="R99" s="1"/>
      <x:c r="S99" s="1"/>
      <x:c r="T99" s="1"/>
      <x:c r="U99" s="1"/>
    </x:row>
    <x:row r="100">
      <x:c r="A100" s="1"/>
      <x:c r="B100" s="1"/>
      <x:c r="C100" s="1"/>
      <x:c r="D100" s="1"/>
      <x:c r="E100" s="1"/>
      <x:c r="F100" s="1"/>
      <x:c r="G100" s="1"/>
      <x:c r="H100" s="1"/>
      <x:c r="I100" s="1"/>
      <x:c r="J100" s="1"/>
      <x:c r="K100" s="1"/>
      <x:c r="L100" s="1"/>
      <x:c r="M100" s="1"/>
      <x:c r="N100" s="1"/>
      <x:c r="O100" s="1"/>
      <x:c r="P100" s="1"/>
      <x:c r="Q100" s="1"/>
      <x:c r="R100" s="1"/>
      <x:c r="S100" s="1"/>
      <x:c r="T100" s="1"/>
      <x:c r="U100" s="1"/>
    </x:row>
    <x:row r="101">
      <x:c r="A101" s="1"/>
      <x:c r="B101" s="1"/>
      <x:c r="C101" s="1"/>
      <x:c r="D101" s="1"/>
      <x:c r="E101" s="1"/>
      <x:c r="F101" s="1"/>
      <x:c r="G101" s="1"/>
      <x:c r="H101" s="1"/>
      <x:c r="I101" s="1"/>
      <x:c r="J101" s="1"/>
      <x:c r="K101" s="1"/>
      <x:c r="L101" s="1"/>
      <x:c r="M101" s="1"/>
      <x:c r="N101" s="1"/>
      <x:c r="O101" s="1"/>
      <x:c r="P101" s="1"/>
      <x:c r="Q101" s="1"/>
      <x:c r="R101" s="1"/>
      <x:c r="S101" s="1"/>
      <x:c r="T101" s="1"/>
      <x:c r="U101" s="1"/>
    </x:row>
    <x:row r="102">
      <x:c r="A102" s="1"/>
      <x:c r="B102" s="1"/>
      <x:c r="C102" s="1"/>
      <x:c r="D102" s="1"/>
      <x:c r="E102" s="1"/>
      <x:c r="F102" s="1"/>
      <x:c r="G102" s="1"/>
      <x:c r="H102" s="1"/>
      <x:c r="I102" s="1"/>
      <x:c r="J102" s="1"/>
      <x:c r="K102" s="1"/>
      <x:c r="L102" s="1"/>
      <x:c r="M102" s="1"/>
      <x:c r="N102" s="1"/>
      <x:c r="O102" s="1"/>
      <x:c r="P102" s="1"/>
      <x:c r="Q102" s="1"/>
      <x:c r="R102" s="1"/>
      <x:c r="S102" s="1"/>
      <x:c r="T102" s="1"/>
      <x:c r="U102" s="1"/>
    </x:row>
    <x:row r="103">
      <x:c r="A103" s="1"/>
      <x:c r="B103" s="1"/>
      <x:c r="C103" s="1"/>
      <x:c r="D103" s="1"/>
      <x:c r="E103" s="1"/>
      <x:c r="F103" s="1"/>
      <x:c r="G103" s="1"/>
      <x:c r="H103" s="1"/>
      <x:c r="I103" s="1"/>
      <x:c r="J103" s="1"/>
      <x:c r="K103" s="1"/>
      <x:c r="L103" s="1"/>
      <x:c r="M103" s="1"/>
      <x:c r="N103" s="1"/>
      <x:c r="O103" s="1"/>
      <x:c r="P103" s="1"/>
      <x:c r="Q103" s="1"/>
      <x:c r="R103" s="1"/>
      <x:c r="S103" s="1"/>
      <x:c r="T103" s="1"/>
      <x:c r="U103" s="1"/>
    </x:row>
    <x:row r="104">
      <x:c r="A104" s="1"/>
      <x:c r="B104" s="1"/>
      <x:c r="C104" s="1"/>
      <x:c r="D104" s="1"/>
      <x:c r="E104" s="1"/>
      <x:c r="F104" s="1"/>
      <x:c r="G104" s="1"/>
      <x:c r="H104" s="1"/>
      <x:c r="I104" s="1"/>
      <x:c r="J104" s="1"/>
      <x:c r="K104" s="1"/>
      <x:c r="L104" s="1"/>
      <x:c r="M104" s="1"/>
      <x:c r="N104" s="1"/>
      <x:c r="O104" s="1"/>
      <x:c r="P104" s="1"/>
      <x:c r="Q104" s="1"/>
      <x:c r="R104" s="1"/>
      <x:c r="S104" s="1"/>
      <x:c r="T104" s="1"/>
      <x:c r="U104" s="1"/>
    </x:row>
    <x:row r="105">
      <x:c r="A105" s="1"/>
      <x:c r="B105" s="1"/>
      <x:c r="C105" s="1"/>
      <x:c r="D105" s="1"/>
      <x:c r="E105" s="1"/>
      <x:c r="F105" s="1"/>
      <x:c r="G105" s="1"/>
      <x:c r="H105" s="1"/>
      <x:c r="I105" s="1"/>
      <x:c r="J105" s="1"/>
      <x:c r="K105" s="1"/>
      <x:c r="L105" s="1"/>
      <x:c r="M105" s="1"/>
      <x:c r="N105" s="1"/>
      <x:c r="O105" s="1"/>
      <x:c r="P105" s="1"/>
      <x:c r="Q105" s="1"/>
      <x:c r="R105" s="1"/>
      <x:c r="S105" s="1"/>
      <x:c r="T105" s="1"/>
      <x:c r="U105" s="1"/>
    </x:row>
    <x:row r="106">
      <x:c r="A106" s="1"/>
      <x:c r="B106" s="1"/>
      <x:c r="C106" s="1"/>
      <x:c r="D106" s="1"/>
      <x:c r="E106" s="1"/>
      <x:c r="F106" s="1"/>
      <x:c r="G106" s="1"/>
      <x:c r="H106" s="1"/>
      <x:c r="I106" s="1"/>
      <x:c r="J106" s="1"/>
      <x:c r="K106" s="1"/>
      <x:c r="L106" s="1"/>
      <x:c r="M106" s="1"/>
      <x:c r="N106" s="1"/>
      <x:c r="O106" s="1"/>
      <x:c r="P106" s="1"/>
      <x:c r="Q106" s="1"/>
      <x:c r="R106" s="1"/>
      <x:c r="S106" s="1"/>
      <x:c r="T106" s="1"/>
      <x:c r="U106" s="1"/>
    </x:row>
    <x:row r="107">
      <x:c r="A107" s="1"/>
      <x:c r="B107" s="1"/>
      <x:c r="C107" s="1"/>
      <x:c r="D107" s="1"/>
      <x:c r="E107" s="1"/>
      <x:c r="F107" s="1"/>
      <x:c r="G107" s="1"/>
      <x:c r="H107" s="1"/>
      <x:c r="I107" s="1"/>
      <x:c r="J107" s="1"/>
      <x:c r="K107" s="1"/>
      <x:c r="L107" s="1"/>
      <x:c r="M107" s="1"/>
      <x:c r="N107" s="1"/>
      <x:c r="O107" s="1"/>
      <x:c r="P107" s="1"/>
      <x:c r="Q107" s="1"/>
      <x:c r="R107" s="1"/>
      <x:c r="S107" s="1"/>
      <x:c r="T107" s="1"/>
      <x:c r="U107" s="1"/>
    </x:row>
    <x:row r="108">
      <x:c r="A108" s="1"/>
      <x:c r="B108" s="1"/>
      <x:c r="C108" s="1"/>
      <x:c r="D108" s="1"/>
      <x:c r="E108" s="1"/>
      <x:c r="F108" s="1"/>
      <x:c r="G108" s="1"/>
      <x:c r="H108" s="1"/>
      <x:c r="I108" s="1"/>
      <x:c r="J108" s="1"/>
      <x:c r="K108" s="1"/>
      <x:c r="L108" s="1"/>
      <x:c r="M108" s="1"/>
      <x:c r="N108" s="1"/>
      <x:c r="O108" s="1"/>
      <x:c r="P108" s="1"/>
      <x:c r="Q108" s="1"/>
      <x:c r="R108" s="1"/>
      <x:c r="S108" s="1"/>
      <x:c r="T108" s="1"/>
      <x:c r="U108" s="1"/>
    </x:row>
    <x:row r="109">
      <x:c r="A109" s="1"/>
      <x:c r="B109" s="1"/>
      <x:c r="C109" s="1"/>
      <x:c r="D109" s="1"/>
      <x:c r="E109" s="1"/>
      <x:c r="F109" s="1"/>
      <x:c r="G109" s="1"/>
      <x:c r="H109" s="1"/>
      <x:c r="I109" s="1"/>
      <x:c r="J109" s="1"/>
      <x:c r="K109" s="1"/>
      <x:c r="L109" s="1"/>
      <x:c r="M109" s="1"/>
      <x:c r="N109" s="1"/>
      <x:c r="O109" s="1"/>
      <x:c r="P109" s="1"/>
      <x:c r="Q109" s="1"/>
      <x:c r="R109" s="1"/>
      <x:c r="S109" s="1"/>
      <x:c r="T109" s="1"/>
      <x:c r="U109" s="1"/>
    </x:row>
    <x:row r="110">
      <x:c r="A110" s="1"/>
      <x:c r="B110" s="1"/>
      <x:c r="C110" s="1"/>
      <x:c r="D110" s="1"/>
      <x:c r="E110" s="1"/>
      <x:c r="F110" s="1"/>
      <x:c r="G110" s="1"/>
      <x:c r="H110" s="1"/>
      <x:c r="I110" s="1"/>
      <x:c r="J110" s="1"/>
      <x:c r="K110" s="1"/>
      <x:c r="L110" s="1"/>
      <x:c r="M110" s="1"/>
      <x:c r="N110" s="1"/>
      <x:c r="O110" s="1"/>
      <x:c r="P110" s="1"/>
      <x:c r="Q110" s="1"/>
      <x:c r="R110" s="1"/>
      <x:c r="S110" s="1"/>
      <x:c r="T110" s="1"/>
      <x:c r="U110" s="1"/>
    </x:row>
    <x:row r="111">
      <x:c r="A111" s="1"/>
      <x:c r="B111" s="1"/>
      <x:c r="C111" s="1"/>
      <x:c r="D111" s="1"/>
      <x:c r="E111" s="1"/>
      <x:c r="F111" s="1"/>
      <x:c r="G111" s="1"/>
      <x:c r="H111" s="1"/>
      <x:c r="I111" s="1"/>
      <x:c r="J111" s="1"/>
      <x:c r="K111" s="1"/>
      <x:c r="L111" s="1"/>
      <x:c r="M111" s="1"/>
      <x:c r="N111" s="1"/>
      <x:c r="O111" s="1"/>
      <x:c r="P111" s="1"/>
      <x:c r="Q111" s="1"/>
      <x:c r="R111" s="1"/>
      <x:c r="S111" s="1"/>
      <x:c r="T111" s="1"/>
      <x:c r="U111" s="1"/>
    </x:row>
    <x:row r="112">
      <x:c r="A112" s="1"/>
      <x:c r="B112" s="1"/>
      <x:c r="C112" s="1"/>
      <x:c r="D112" s="1"/>
      <x:c r="E112" s="1"/>
      <x:c r="F112" s="1"/>
      <x:c r="G112" s="1"/>
      <x:c r="H112" s="1"/>
      <x:c r="I112" s="1"/>
      <x:c r="J112" s="1"/>
      <x:c r="K112" s="1"/>
      <x:c r="L112" s="1"/>
      <x:c r="M112" s="1"/>
      <x:c r="N112" s="1"/>
      <x:c r="O112" s="1"/>
      <x:c r="P112" s="1"/>
      <x:c r="Q112" s="1"/>
      <x:c r="R112" s="1"/>
      <x:c r="S112" s="1"/>
      <x:c r="T112" s="1"/>
      <x:c r="U112" s="1"/>
    </x:row>
    <x:row r="113">
      <x:c r="A113" s="1"/>
      <x:c r="B113" s="1"/>
      <x:c r="C113" s="1"/>
      <x:c r="D113" s="1"/>
      <x:c r="E113" s="1"/>
      <x:c r="F113" s="1"/>
      <x:c r="G113" s="1"/>
      <x:c r="H113" s="1"/>
      <x:c r="I113" s="1"/>
      <x:c r="J113" s="1"/>
      <x:c r="K113" s="1"/>
      <x:c r="L113" s="1"/>
      <x:c r="M113" s="1"/>
      <x:c r="N113" s="1"/>
      <x:c r="O113" s="1"/>
      <x:c r="P113" s="1"/>
      <x:c r="Q113" s="1"/>
      <x:c r="R113" s="1"/>
      <x:c r="S113" s="1"/>
      <x:c r="T113" s="1"/>
      <x:c r="U113" s="1"/>
    </x:row>
    <x:row r="114">
      <x:c r="A114" s="1"/>
      <x:c r="B114" s="1"/>
      <x:c r="C114" s="1"/>
      <x:c r="D114" s="1"/>
      <x:c r="E114" s="1"/>
      <x:c r="F114" s="1"/>
      <x:c r="G114" s="1"/>
      <x:c r="H114" s="1"/>
      <x:c r="I114" s="1"/>
      <x:c r="J114" s="1"/>
      <x:c r="K114" s="1"/>
      <x:c r="L114" s="1"/>
      <x:c r="M114" s="1"/>
      <x:c r="N114" s="1"/>
      <x:c r="O114" s="1"/>
      <x:c r="P114" s="1"/>
      <x:c r="Q114" s="1"/>
      <x:c r="R114" s="1"/>
      <x:c r="S114" s="1"/>
      <x:c r="T114" s="1"/>
      <x:c r="U114" s="1"/>
    </x:row>
    <x:row r="115">
      <x:c r="A115" s="1"/>
      <x:c r="B115" s="1"/>
      <x:c r="C115" s="1"/>
      <x:c r="D115" s="1"/>
      <x:c r="E115" s="1"/>
      <x:c r="F115" s="1"/>
      <x:c r="G115" s="1"/>
      <x:c r="H115" s="1"/>
      <x:c r="I115" s="1"/>
      <x:c r="J115" s="1"/>
      <x:c r="K115" s="1"/>
      <x:c r="L115" s="1"/>
      <x:c r="M115" s="1"/>
      <x:c r="N115" s="1"/>
      <x:c r="O115" s="1"/>
      <x:c r="P115" s="1"/>
      <x:c r="Q115" s="1"/>
      <x:c r="R115" s="1"/>
      <x:c r="S115" s="1"/>
      <x:c r="T115" s="1"/>
      <x:c r="U115" s="1"/>
    </x:row>
    <x:row r="116">
      <x:c r="A116" s="1"/>
      <x:c r="B116" s="1"/>
      <x:c r="C116" s="1"/>
      <x:c r="D116" s="1"/>
      <x:c r="E116" s="1"/>
      <x:c r="F116" s="1"/>
      <x:c r="G116" s="1"/>
      <x:c r="H116" s="1"/>
      <x:c r="I116" s="1"/>
      <x:c r="J116" s="1"/>
      <x:c r="K116" s="1"/>
      <x:c r="L116" s="1"/>
      <x:c r="M116" s="1"/>
      <x:c r="N116" s="1"/>
      <x:c r="O116" s="1"/>
      <x:c r="P116" s="1"/>
      <x:c r="Q116" s="1"/>
      <x:c r="R116" s="1"/>
      <x:c r="S116" s="1"/>
      <x:c r="T116" s="1"/>
      <x:c r="U116" s="1"/>
    </x:row>
    <x:row r="117">
      <x:c r="A117" s="1"/>
      <x:c r="B117" s="1"/>
      <x:c r="C117" s="1"/>
      <x:c r="D117" s="1"/>
      <x:c r="E117" s="1"/>
      <x:c r="F117" s="1"/>
      <x:c r="G117" s="1"/>
      <x:c r="H117" s="1"/>
      <x:c r="I117" s="1"/>
      <x:c r="J117" s="1"/>
      <x:c r="K117" s="1"/>
      <x:c r="L117" s="1"/>
      <x:c r="M117" s="1"/>
      <x:c r="N117" s="1"/>
      <x:c r="O117" s="1"/>
      <x:c r="P117" s="1"/>
      <x:c r="Q117" s="1"/>
      <x:c r="R117" s="1"/>
      <x:c r="S117" s="1"/>
      <x:c r="T117" s="1"/>
      <x:c r="U117" s="1"/>
    </x:row>
    <x:row r="118">
      <x:c r="A118" s="1"/>
      <x:c r="B118" s="1"/>
      <x:c r="C118" s="1"/>
      <x:c r="D118" s="1"/>
      <x:c r="E118" s="1"/>
      <x:c r="F118" s="1"/>
      <x:c r="G118" s="1"/>
      <x:c r="H118" s="1"/>
      <x:c r="I118" s="1"/>
      <x:c r="J118" s="1"/>
      <x:c r="K118" s="1"/>
      <x:c r="L118" s="1"/>
      <x:c r="M118" s="1"/>
      <x:c r="N118" s="1"/>
      <x:c r="O118" s="1"/>
      <x:c r="P118" s="1"/>
      <x:c r="Q118" s="1"/>
      <x:c r="R118" s="1"/>
      <x:c r="S118" s="1"/>
      <x:c r="T118" s="1"/>
      <x:c r="U118" s="1"/>
    </x:row>
    <x:row r="119">
      <x:c r="A119" s="1"/>
      <x:c r="B119" s="1"/>
      <x:c r="C119" s="1"/>
      <x:c r="D119" s="1"/>
      <x:c r="E119" s="1"/>
      <x:c r="F119" s="1"/>
      <x:c r="G119" s="1"/>
      <x:c r="H119" s="1"/>
      <x:c r="I119" s="1"/>
      <x:c r="J119" s="1"/>
      <x:c r="K119" s="1"/>
      <x:c r="L119" s="1"/>
      <x:c r="M119" s="1"/>
      <x:c r="N119" s="1"/>
      <x:c r="O119" s="1"/>
      <x:c r="P119" s="1"/>
      <x:c r="Q119" s="1"/>
      <x:c r="R119" s="1"/>
      <x:c r="S119" s="1"/>
      <x:c r="T119" s="1"/>
      <x:c r="U119" s="1"/>
    </x:row>
    <x:row r="120">
      <x:c r="A120" s="1"/>
      <x:c r="B120" s="1"/>
      <x:c r="C120" s="1"/>
      <x:c r="D120" s="1"/>
      <x:c r="E120" s="1"/>
      <x:c r="F120" s="1"/>
      <x:c r="G120" s="1"/>
      <x:c r="H120" s="1"/>
      <x:c r="I120" s="1"/>
      <x:c r="J120" s="1"/>
      <x:c r="K120" s="1"/>
      <x:c r="L120" s="1"/>
      <x:c r="M120" s="1"/>
      <x:c r="N120" s="1"/>
      <x:c r="O120" s="1"/>
      <x:c r="P120" s="1"/>
      <x:c r="Q120" s="1"/>
      <x:c r="R120" s="1"/>
      <x:c r="S120" s="1"/>
      <x:c r="T120" s="1"/>
      <x:c r="U120" s="1"/>
    </x:row>
  </x:sheetData>
  <x:dataValidations count="1">
    <x:dataValidation type="list" sqref="D2:D27">
      <x:formula1>"stay,food,transport,attraction"</x:formula1>
    </x:dataValidation>
  </x:dataValidations>
  <x:pageMargins left="0.7" right="0.7" top="0.75" bottom="0.75" header="0.3" footer="0.3"/>
  <x:tableParts count="1">
    <x:tablePart xmlns:r="http://schemas.openxmlformats.org/officeDocument/2006/relationships" r:id="R288d16c6d5de4779"/>
  </x:tableParts>
</x:worksheet>
</file>

<file path=xl/worksheets/sheet10.xml><?xml version="1.0" encoding="utf-8"?>
<x:worksheet xmlns:x="http://schemas.openxmlformats.org/spreadsheetml/2006/main">
  <x:sheetFormatPr defaultRowHeight="14.25"/>
  <x:cols>
    <x:col min="1" max="3" width="15" customWidth="1"/>
    <x:col min="4" max="5" width="10" customWidth="1"/>
    <x:col min="6" max="6" width="42" customWidth="1"/>
    <x:col min="7" max="7" width="14" customWidth="1"/>
    <x:col min="8" max="8" width="12" customWidth="1"/>
    <x:col min="9" max="9" width="14" customWidth="1"/>
    <x:col min="10" max="10" width="16" customWidth="1"/>
    <x:col min="11" max="11" width="24" customWidth="1"/>
    <x:col min="12" max="12" width="40" customWidth="1"/>
    <x:col min="13" max="13" width="20" customWidth="1"/>
    <x:col min="14" max="16" width="22" customWidth="1"/>
    <x:col min="17" max="17" width="24" customWidth="1"/>
    <x:col min="18" max="18" width="22" customWidth="1"/>
    <x:col min="19" max="19" width="28" customWidth="1"/>
    <x:col min="20" max="20" width="46" customWidth="1"/>
    <x:col min="21" max="21" width="10" hidden="0" customWidth="1"/>
    <x:col min="22" max="22" width="46" hidden="0" customWidth="1"/>
    <x:col min="23" max="23" width="48" hidden="0" customWidth="1"/>
    <x:col min="24" max="24" width="34" hidden="0" customWidth="1"/>
    <x:col min="25" max="25" width="16" hidden="0" customWidth="1"/>
    <x:col min="26" max="26" width="34" hidden="0" customWidth="1"/>
    <x:col min="27" max="27" width="13" hidden="0" customWidth="1"/>
    <x:col min="28" max="28" width="11" hidden="0" customWidth="1"/>
    <x:col min="29" max="29" width="45" hidden="0" customWidth="1"/>
  </x:cols>
  <x:sheetData>
    <x:row r="1" ht="36" customHeight="1">
      <x:c r="A1" s="4" t="s">
        <x:v>329</x:v>
      </x:c>
      <x:c r="B1" s="4" t="s">
        <x:v>209</x:v>
      </x:c>
      <x:c r="C1" s="4" t="s">
        <x:v>151</x:v>
      </x:c>
      <x:c r="D1" s="4" t="s">
        <x:v>330</x:v>
      </x:c>
      <x:c r="E1" s="4" t="s">
        <x:v>331</x:v>
      </x:c>
      <x:c r="F1" s="4" t="s">
        <x:v>332</x:v>
      </x:c>
      <x:c r="G1" s="4" t="s">
        <x:v>333</x:v>
      </x:c>
      <x:c r="H1" s="4" t="s">
        <x:v>155</x:v>
      </x:c>
      <x:c r="I1" s="4" t="s">
        <x:v>334</x:v>
      </x:c>
      <x:c r="J1" s="4" t="s">
        <x:v>211</x:v>
      </x:c>
      <x:c r="K1" s="4" t="s">
        <x:v>335</x:v>
      </x:c>
      <x:c r="L1" s="4" t="s">
        <x:v>214</x:v>
      </x:c>
      <x:c r="M1" s="4" t="s">
        <x:v>215</x:v>
      </x:c>
      <x:c r="N1" s="4" t="s">
        <x:v>216</x:v>
      </x:c>
      <x:c r="O1" s="4" t="s">
        <x:v>217</x:v>
      </x:c>
      <x:c r="P1" s="4" t="s">
        <x:v>218</x:v>
      </x:c>
      <x:c r="Q1" s="4" t="s">
        <x:v>158</x:v>
      </x:c>
      <x:c r="R1" s="4" t="s">
        <x:v>160</x:v>
      </x:c>
      <x:c r="S1" s="4" t="s">
        <x:v>161</x:v>
      </x:c>
      <x:c r="T1" s="4" t="s">
        <x:v>162</x:v>
      </x:c>
      <x:c r="U1" s="126" t="str">
        <x:v>end_time</x:v>
      </x:c>
      <x:c r="V1" s="126" t="str">
        <x:v>activity_description</x:v>
      </x:c>
      <x:c r="W1" s="126" t="str">
        <x:v>image_url</x:v>
      </x:c>
      <x:c r="X1" s="126" t="str">
        <x:v>location_name</x:v>
      </x:c>
      <x:c r="Y1" s="126" t="str">
        <x:v>duration_minutes</x:v>
      </x:c>
      <x:c r="Z1" s="126" t="str">
        <x:v>activity_tags</x:v>
      </x:c>
      <x:c r="AA1" s="126" t="str">
        <x:v>is_included</x:v>
      </x:c>
      <x:c r="AB1" s="126" t="str">
        <x:v>sort_order</x:v>
      </x:c>
      <x:c r="AC1" s="207" t="str">
        <x:v>original_image_url</x:v>
      </x:c>
    </x:row>
    <x:row r="2" ht="15" customHeight="1">
      <x:c r="A2" s="16" t="s">
        <x:v>336</x:v>
      </x:c>
      <x:c r="B2" s="16" t="s">
        <x:v>253</x:v>
      </x:c>
      <x:c r="C2" s="16" t="s">
        <x:v>164</x:v>
      </x:c>
      <x:c r="D2" s="16">
        <x:v>1</x:v>
      </x:c>
      <x:c r="E2" s="16" t="s">
        <x:v>337</x:v>
      </x:c>
      <x:c r="F2" s="16" t="s">
        <x:v>338</x:v>
      </x:c>
      <x:c r="G2" s="28">
        <x:v>180000</x:v>
      </x:c>
      <x:c r="H2" s="17">
        <x:v>-3.2</x:v>
      </x:c>
      <x:c r="I2" s="16" t="s">
        <x:v>339</x:v>
      </x:c>
      <x:c r="J2" s="16" t="s">
        <x:v>255</x:v>
      </x:c>
      <x:c r="K2" s="16" t="s">
        <x:v>340</x:v>
      </x:c>
      <x:c r="L2" s="16" t="s">
        <x:v>257</x:v>
      </x:c>
      <x:c r="M2" s="16" t="s">
        <x:v>258</x:v>
      </x:c>
      <x:c r="N2" s="20">
        <x:v>30.19</x:v>
      </x:c>
      <x:c r="O2" s="20">
        <x:v>0.17100000000000001</x:v>
      </x:c>
      <x:c r="P2" s="20">
        <x:v>6.5000000000000002E-2</x:v>
      </x:c>
      <x:c r="Q2" s="16" t="s">
        <x:v>246</x:v>
      </x:c>
      <x:c r="R2" s="16" t="s">
        <x:v>259</x:v>
      </x:c>
      <x:c r="S2" s="16" t="s">
        <x:v>248</x:v>
      </x:c>
      <x:c r="T2" s="16" t="s">
        <x:v>341</x:v>
      </x:c>
      <x:c r="U2" s="127" t="str">
        <x:v>09:00</x:v>
      </x:c>
      <x:c r="V2" s="127" t="str">
        <x:v>Đón khách tại Tuy Hòa bằng xe điện nhóm nhỏ. Di chuyển theo nhóm nhỏ, ưu tiên phương tiện ít phát thải và nhịp độ phù hợp.</x:v>
      </x:c>
      <x:c r="W2" s="127" t="str">
        <x:v>/image/tours/phu-yen-checkin-ven-bien-01.jpg</x:v>
      </x:c>
      <x:c r="X2" s="127" t="str">
        <x:v>Xe điện nhóm nhỏ Tuy Hòa - Tuy An</x:v>
      </x:c>
      <x:c r="Y2" s="127" t="n">
        <x:v>90</x:v>
      </x:c>
      <x:c r="Z2" s="127" t="str">
        <x:v>Di chuyển xanh; Nhóm nhỏ</x:v>
      </x:c>
      <x:c r="AA2" s="134" t="b">
        <x:v>1</x:v>
      </x:c>
      <x:c r="AB2" s="127" t="n">
        <x:v>1</x:v>
      </x:c>
      <x:c r="AC2" s="93" t="str">
        <x:v>https://i.pinimg.com/736x/12/3f/f2/123ff25efda490eb4228ebea787f66cd.jpg</x:v>
      </x:c>
    </x:row>
    <x:row r="3" ht="15" customHeight="1">
      <x:c r="A3" s="18" t="s">
        <x:v>342</x:v>
      </x:c>
      <x:c r="B3" s="18" t="s">
        <x:v>219</x:v>
      </x:c>
      <x:c r="C3" s="18" t="s">
        <x:v>164</x:v>
      </x:c>
      <x:c r="D3" s="18">
        <x:v>1</x:v>
      </x:c>
      <x:c r="E3" s="18" t="s">
        <x:v>343</x:v>
      </x:c>
      <x:c r="F3" s="18" t="s">
        <x:v>344</x:v>
      </x:c>
      <x:c r="G3" s="29">
        <x:v>60000</x:v>
      </x:c>
      <x:c r="H3" s="19">
        <x:v>-1.2</x:v>
      </x:c>
      <x:c r="I3" s="18" t="s">
        <x:v>345</x:v>
      </x:c>
      <x:c r="J3" s="18" t="s">
        <x:v>221</x:v>
      </x:c>
      <x:c r="K3" s="18" t="s">
        <x:v>346</x:v>
      </x:c>
      <x:c r="L3" s="18" t="s">
        <x:v>223</x:v>
      </x:c>
      <x:c r="M3" s="18" t="s">
        <x:v>347</x:v>
      </x:c>
      <x:c r="N3" s="21">
        <x:v>3.43</x:v>
      </x:c>
      <x:c r="O3" s="21">
        <x:v>0.6</x:v>
      </x:c>
      <x:c r="P3" s="21">
        <x:v>0.25</x:v>
      </x:c>
      <x:c r="Q3" s="18" t="s">
        <x:v>225</x:v>
      </x:c>
      <x:c r="R3" s="18" t="s">
        <x:v>226</x:v>
      </x:c>
      <x:c r="S3" s="18" t="s">
        <x:v>227</x:v>
      </x:c>
      <x:c r="T3" s="18" t="s">
        <x:v>348</x:v>
      </x:c>
      <x:c r="U3" s="127" t="str">
        <x:v>12:00</x:v>
      </x:c>
      <x:c r="V3" s="127" t="str">
        <x:v>Tham quan Gành Đá Đĩa và chụp ảnh bờ đá bazan. Tham quan có hướng dẫn, ưu tiên ứng xử văn minh và hạn chế tác động đến điểm đến.</x:v>
      </x:c>
      <x:c r="W3" s="127" t="str">
        <x:v>/image/tours/phu-yen-bai-da-ven-bien-01.jpg</x:v>
      </x:c>
      <x:c r="X3" s="127" t="str">
        <x:v>Vé tham quan Gành Đá Đĩa</x:v>
      </x:c>
      <x:c r="Y3" s="127" t="n">
        <x:v>180</x:v>
      </x:c>
      <x:c r="Z3" s="127" t="str">
        <x:v>Điểm đến xanh; Trải nghiệm địa phương</x:v>
      </x:c>
      <x:c r="AA3" s="134" t="b">
        <x:v>1</x:v>
      </x:c>
      <x:c r="AB3" s="127" t="n">
        <x:v>2</x:v>
      </x:c>
      <x:c r="AC3" s="93" t="str">
        <x:v>https://i.pinimg.com/736x/60/9c/ef/609cefb4e490debd1ea140b6e21be7bc.jpg</x:v>
      </x:c>
    </x:row>
    <x:row r="4" ht="15" customHeight="1">
      <x:c r="A4" s="16" t="s">
        <x:v>349</x:v>
      </x:c>
      <x:c r="B4" s="16" t="s">
        <x:v>229</x:v>
      </x:c>
      <x:c r="C4" s="16" t="s">
        <x:v>164</x:v>
      </x:c>
      <x:c r="D4" s="16">
        <x:v>1</x:v>
      </x:c>
      <x:c r="E4" s="16" t="s">
        <x:v>350</x:v>
      </x:c>
      <x:c r="F4" s="16" t="s">
        <x:v>351</x:v>
      </x:c>
      <x:c r="G4" s="28">
        <x:v>220000</x:v>
      </x:c>
      <x:c r="H4" s="17">
        <x:v>-0.8</x:v>
      </x:c>
      <x:c r="I4" s="16" t="s">
        <x:v>352</x:v>
      </x:c>
      <x:c r="J4" s="16" t="s">
        <x:v>231</x:v>
      </x:c>
      <x:c r="K4" s="16" t="s">
        <x:v>353</x:v>
      </x:c>
      <x:c r="L4" s="16" t="s">
        <x:v>354</x:v>
      </x:c>
      <x:c r="M4" s="16" t="s">
        <x:v>355</x:v>
      </x:c>
      <x:c r="N4" s="20">
        <x:v>1.6</x:v>
      </x:c>
      <x:c r="O4" s="20">
        <x:v>1.5</x:v>
      </x:c>
      <x:c r="P4" s="20">
        <x:v>1</x:v>
      </x:c>
      <x:c r="Q4" s="16" t="s">
        <x:v>235</x:v>
      </x:c>
      <x:c r="R4" s="16" t="s">
        <x:v>236</x:v>
      </x:c>
      <x:c r="S4" s="16" t="s">
        <x:v>227</x:v>
      </x:c>
      <x:c r="T4" s="16" t="s">
        <x:v>356</x:v>
      </x:c>
      <x:c r="U4" s="127" t="str">
        <x:v>15:30</x:v>
      </x:c>
      <x:c r="V4" s="127" t="str">
        <x:v>Ăn trưa hải sản đầm Ô Loan, hạn chế nhựa dùng một lần. Trải nghiệm ẩm thực địa phương, khuyến khích giảm nhựa dùng một lần và hạn chế lãng phí.</x:v>
      </x:c>
      <x:c r="W4" s="127" t="str">
        <x:v>/image/tours/phu-yen-canh-quan-xanh-01.jpg</x:v>
      </x:c>
      <x:c r="X4" s="127" t="str">
        <x:v>Bữa hải sản đầm Ô Loan không nhựa dùng một lần</x:v>
      </x:c>
      <x:c r="Y4" s="127" t="n">
        <x:v>210</x:v>
      </x:c>
      <x:c r="Z4" s="127" t="str">
        <x:v>Ẩm thực địa phương; Giảm rác</x:v>
      </x:c>
      <x:c r="AA4" s="134" t="b">
        <x:v>1</x:v>
      </x:c>
      <x:c r="AB4" s="127" t="n">
        <x:v>3</x:v>
      </x:c>
      <x:c r="AC4" s="93" t="str">
        <x:v>https://i.pinimg.com/1200x/c9/81/68/c9816838986e252b85aab71a13f07d8d.jpg</x:v>
      </x:c>
    </x:row>
    <x:row r="5" ht="15" customHeight="1">
      <x:c r="A5" s="18" t="s">
        <x:v>357</x:v>
      </x:c>
      <x:c r="B5" s="18"/>
      <x:c r="C5" s="18" t="s">
        <x:v>164</x:v>
      </x:c>
      <x:c r="D5" s="18">
        <x:v>1</x:v>
      </x:c>
      <x:c r="E5" s="18" t="s">
        <x:v>358</x:v>
      </x:c>
      <x:c r="F5" s="18" t="s">
        <x:v>359</x:v>
      </x:c>
      <x:c r="G5" s="29">
        <x:v>40000</x:v>
      </x:c>
      <x:c r="H5" s="19">
        <x:v>-0.6</x:v>
      </x:c>
      <x:c r="I5" s="18" t="s">
        <x:v>360</x:v>
      </x:c>
      <x:c r="J5" s="18" t="s">
        <x:v>221</x:v>
      </x:c>
      <x:c r="K5" s="18" t="s">
        <x:v>361</x:v>
      </x:c>
      <x:c r="L5" s="18" t="s">
        <x:v>223</x:v>
      </x:c>
      <x:c r="M5" s="18" t="s">
        <x:v>347</x:v>
      </x:c>
      <x:c r="N5" s="21">
        <x:v>1.71</x:v>
      </x:c>
      <x:c r="O5" s="21">
        <x:v>0.6</x:v>
      </x:c>
      <x:c r="P5" s="21">
        <x:v>0.25</x:v>
      </x:c>
      <x:c r="Q5" s="18" t="s">
        <x:v>225</x:v>
      </x:c>
      <x:c r="R5" s="18" t="s">
        <x:v>226</x:v>
      </x:c>
      <x:c r="S5" s="18" t="s">
        <x:v>227</x:v>
      </x:c>
      <x:c r="T5" s="18" t="s">
        <x:v>348</x:v>
      </x:c>
      <x:c r="U5" s="127" t="str">
        <x:v>17:30</x:v>
      </x:c>
      <x:c r="V5" s="127" t="str">
        <x:v>Ghé nhà thờ Mằng Lăng và nghe chuyện địa phương. Tham quan có hướng dẫn, ưu tiên ứng xử văn minh và hạn chế tác động đến điểm đến.</x:v>
      </x:c>
      <x:c r="W5" s="127" t="str">
        <x:v>/image/tours/phu-yen-bai-da-ven-bien-01.jpg</x:v>
      </x:c>
      <x:c r="X5" s="127" t="str">
        <x:v>Phú Yên</x:v>
      </x:c>
      <x:c r="Y5" s="127" t="n">
        <x:v>120</x:v>
      </x:c>
      <x:c r="Z5" s="127" t="str">
        <x:v>Điểm đến xanh; Trải nghiệm địa phương</x:v>
      </x:c>
      <x:c r="AA5" s="134" t="b">
        <x:v>1</x:v>
      </x:c>
      <x:c r="AB5" s="127" t="n">
        <x:v>4</x:v>
      </x:c>
      <x:c r="AC5" s="93" t="str">
        <x:v>https://i.pinimg.com/736x/60/9c/ef/609cefb4e490debd1ea140b6e21be7bc.jpg</x:v>
      </x:c>
    </x:row>
    <x:row r="6" ht="15" customHeight="1">
      <x:c r="A6" s="16" t="s">
        <x:v>362</x:v>
      </x:c>
      <x:c r="B6" s="16" t="s">
        <x:v>241</x:v>
      </x:c>
      <x:c r="C6" s="16" t="s">
        <x:v>164</x:v>
      </x:c>
      <x:c r="D6" s="16">
        <x:v>2</x:v>
      </x:c>
      <x:c r="E6" s="16" t="s">
        <x:v>337</x:v>
      </x:c>
      <x:c r="F6" s="16" t="s">
        <x:v>363</x:v>
      </x:c>
      <x:c r="G6" s="28">
        <x:v>45000</x:v>
      </x:c>
      <x:c r="H6" s="17">
        <x:v>-1.1000000000000001</x:v>
      </x:c>
      <x:c r="I6" s="16" t="s">
        <x:v>364</x:v>
      </x:c>
      <x:c r="J6" s="16" t="s">
        <x:v>365</x:v>
      </x:c>
      <x:c r="K6" s="16" t="s">
        <x:v>366</x:v>
      </x:c>
      <x:c r="L6" s="16" t="s">
        <x:v>367</x:v>
      </x:c>
      <x:c r="M6" s="16" t="s">
        <x:v>368</x:v>
      </x:c>
      <x:c r="N6" s="20">
        <x:v>6.43</x:v>
      </x:c>
      <x:c r="O6" s="20">
        <x:v>0.17100000000000001</x:v>
      </x:c>
      <x:c r="P6" s="20">
        <x:v>0</x:v>
      </x:c>
      <x:c r="Q6" s="16" t="s">
        <x:v>246</x:v>
      </x:c>
      <x:c r="R6" s="16" t="s">
        <x:v>247</x:v>
      </x:c>
      <x:c r="S6" s="16" t="s">
        <x:v>248</x:v>
      </x:c>
      <x:c r="T6" s="16" t="s">
        <x:v>369</x:v>
      </x:c>
      <x:c r="U6" s="127" t="str">
        <x:v>11:00</x:v>
      </x:c>
      <x:c r="V6" s="127" t="str">
        <x:v>Đi bộ nhẹ Bãi Xép - Ghềnh Ông. Hoạt động trải nghiệm nhẹ nhàng, tăng kết nối với cộng đồng và thiên nhiên địa phương.</x:v>
      </x:c>
      <x:c r="W6" s="127" t="str">
        <x:v>/image/tours/phu-yen-bai-xep-checkin-01.jpg</x:v>
      </x:c>
      <x:c r="X6" s="127" t="str">
        <x:v>Trekking nhẹ Bãi Xép - Ghềnh Ông</x:v>
      </x:c>
      <x:c r="Y6" s="127" t="n">
        <x:v>210</x:v>
      </x:c>
      <x:c r="Z6" s="127" t="str">
        <x:v>Nhịp độ nhẹ nhàng; Hoạt động xanh</x:v>
      </x:c>
      <x:c r="AA6" s="134" t="b">
        <x:v>1</x:v>
      </x:c>
      <x:c r="AB6" s="127" t="n">
        <x:v>1</x:v>
      </x:c>
      <x:c r="AC6" s="93" t="str">
        <x:v>https://i.pinimg.com/1200x/9b/43/5f/9b435f463cb84aa6065b3c0c44eec4cc.jpg</x:v>
      </x:c>
    </x:row>
    <x:row r="7" ht="15" customHeight="1">
      <x:c r="A7" s="18" t="s">
        <x:v>370</x:v>
      </x:c>
      <x:c r="B7" s="18"/>
      <x:c r="C7" s="18" t="s">
        <x:v>164</x:v>
      </x:c>
      <x:c r="D7" s="18">
        <x:v>2</x:v>
      </x:c>
      <x:c r="E7" s="18" t="s">
        <x:v>371</x:v>
      </x:c>
      <x:c r="F7" s="18" t="s">
        <x:v>372</x:v>
      </x:c>
      <x:c r="G7" s="29">
        <x:v>0</x:v>
      </x:c>
      <x:c r="H7" s="19">
        <x:v>-0.2</x:v>
      </x:c>
      <x:c r="I7" s="18" t="s">
        <x:v>373</x:v>
      </x:c>
      <x:c r="J7" s="18" t="s">
        <x:v>365</x:v>
      </x:c>
      <x:c r="K7" s="18" t="s">
        <x:v>340</x:v>
      </x:c>
      <x:c r="L7" s="18" t="s">
        <x:v>223</x:v>
      </x:c>
      <x:c r="M7" s="18" t="s">
        <x:v>347</x:v>
      </x:c>
      <x:c r="N7" s="21">
        <x:v>0.56999999999999995</x:v>
      </x:c>
      <x:c r="O7" s="21">
        <x:v>0.6</x:v>
      </x:c>
      <x:c r="P7" s="21">
        <x:v>0.25</x:v>
      </x:c>
      <x:c r="Q7" s="18" t="s">
        <x:v>225</x:v>
      </x:c>
      <x:c r="R7" s="18" t="s">
        <x:v>226</x:v>
      </x:c>
      <x:c r="S7" s="18" t="s">
        <x:v>227</x:v>
      </x:c>
      <x:c r="T7" s="18" t="s">
        <x:v>348</x:v>
      </x:c>
      <x:c r="U7" s="127" t="str">
        <x:v>12:30</x:v>
      </x:c>
      <x:c r="V7" s="127" t="str">
        <x:v>Tổng kết điểm xanh và trả khách tại Tuy Hòa. Hoạt động trải nghiệm nhẹ nhàng, tăng kết nối với cộng đồng và thiên nhiên địa phương.</x:v>
      </x:c>
      <x:c r="W7" s="127" t="str">
        <x:v>/image/tours/phu-yen-checkin-ven-bien-01.jpg</x:v>
      </x:c>
      <x:c r="X7" s="127" t="str">
        <x:v>Phú Yên</x:v>
      </x:c>
      <x:c r="Y7" s="127" t="n">
        <x:v>90</x:v>
      </x:c>
      <x:c r="Z7" s="127" t="str">
        <x:v>Nhịp độ nhẹ nhàng; Hoạt động xanh</x:v>
      </x:c>
      <x:c r="AA7" s="134" t="b">
        <x:v>1</x:v>
      </x:c>
      <x:c r="AB7" s="127" t="n">
        <x:v>2</x:v>
      </x:c>
      <x:c r="AC7" s="93" t="str">
        <x:v>https://i.pinimg.com/736x/60/9c/ef/609cefb4e490debd1ea140b6e21be7bc.jpg</x:v>
      </x:c>
    </x:row>
    <x:row r="8" ht="15" customHeight="1">
      <x:c r="A8" s="16" t="s">
        <x:v>374</x:v>
      </x:c>
      <x:c r="B8" s="16" t="s">
        <x:v>238</x:v>
      </x:c>
      <x:c r="C8" s="16" t="s">
        <x:v>173</x:v>
      </x:c>
      <x:c r="D8" s="16">
        <x:v>1</x:v>
      </x:c>
      <x:c r="E8" s="16" t="s">
        <x:v>375</x:v>
      </x:c>
      <x:c r="F8" s="16" t="s">
        <x:v>376</x:v>
      </x:c>
      <x:c r="G8" s="28">
        <x:v>50000</x:v>
      </x:c>
      <x:c r="H8" s="17">
        <x:v>-1</x:v>
      </x:c>
      <x:c r="I8" s="16" t="s">
        <x:v>377</x:v>
      </x:c>
      <x:c r="J8" s="16" t="s">
        <x:v>221</x:v>
      </x:c>
      <x:c r="K8" s="16" t="s">
        <x:v>378</x:v>
      </x:c>
      <x:c r="L8" s="16" t="s">
        <x:v>223</x:v>
      </x:c>
      <x:c r="M8" s="16" t="s">
        <x:v>347</x:v>
      </x:c>
      <x:c r="N8" s="20">
        <x:v>2.86</x:v>
      </x:c>
      <x:c r="O8" s="20">
        <x:v>0.6</x:v>
      </x:c>
      <x:c r="P8" s="20">
        <x:v>0.25</x:v>
      </x:c>
      <x:c r="Q8" s="16" t="s">
        <x:v>225</x:v>
      </x:c>
      <x:c r="R8" s="16" t="s">
        <x:v>226</x:v>
      </x:c>
      <x:c r="S8" s="16" t="s">
        <x:v>227</x:v>
      </x:c>
      <x:c r="T8" s="16" t="s">
        <x:v>348</x:v>
      </x:c>
      <x:c r="U8" s="127" t="str">
        <x:v>07:00</x:v>
      </x:c>
      <x:c r="V8" s="127" t="str">
        <x:v>Xuất phát sớm đi Mũi Điện ngắm bình minh. Tham quan có hướng dẫn, ưu tiên ứng xử văn minh và hạn chế tác động đến điểm đến.</x:v>
      </x:c>
      <x:c r="W8" s="127" t="str">
        <x:v>/image/tours/phu-yen-mui-dien-bai-mon-01.jpg</x:v>
      </x:c>
      <x:c r="X8" s="127" t="str">
        <x:v>Check-in Hải đăng Mũi Điện - Bãi Môn</x:v>
      </x:c>
      <x:c r="Y8" s="127" t="n">
        <x:v>135</x:v>
      </x:c>
      <x:c r="Z8" s="127" t="str">
        <x:v>Điểm đến xanh; Trải nghiệm địa phương</x:v>
      </x:c>
      <x:c r="AA8" s="134" t="b">
        <x:v>1</x:v>
      </x:c>
      <x:c r="AB8" s="127" t="n">
        <x:v>1</x:v>
      </x:c>
      <x:c r="AC8" s="93" t="str">
        <x:v>https://i.pinimg.com/1200x/a4/54/5a/a4545a58170747ef18d15a28d465bc13.jpg</x:v>
      </x:c>
    </x:row>
    <x:row r="9" ht="15" customHeight="1">
      <x:c r="A9" s="18" t="s">
        <x:v>379</x:v>
      </x:c>
      <x:c r="B9" s="18"/>
      <x:c r="C9" s="18" t="s">
        <x:v>173</x:v>
      </x:c>
      <x:c r="D9" s="18">
        <x:v>1</x:v>
      </x:c>
      <x:c r="E9" s="18" t="s">
        <x:v>380</x:v>
      </x:c>
      <x:c r="F9" s="18" t="s">
        <x:v>381</x:v>
      </x:c>
      <x:c r="G9" s="29">
        <x:v>0</x:v>
      </x:c>
      <x:c r="H9" s="19">
        <x:v>-1.4</x:v>
      </x:c>
      <x:c r="I9" s="18" t="s">
        <x:v>382</x:v>
      </x:c>
      <x:c r="J9" s="18" t="s">
        <x:v>365</x:v>
      </x:c>
      <x:c r="K9" s="18" t="s">
        <x:v>383</x:v>
      </x:c>
      <x:c r="L9" s="18" t="s">
        <x:v>223</x:v>
      </x:c>
      <x:c r="M9" s="18" t="s">
        <x:v>347</x:v>
      </x:c>
      <x:c r="N9" s="21">
        <x:v>4</x:v>
      </x:c>
      <x:c r="O9" s="21">
        <x:v>0.6</x:v>
      </x:c>
      <x:c r="P9" s="21">
        <x:v>0.25</x:v>
      </x:c>
      <x:c r="Q9" s="18" t="s">
        <x:v>225</x:v>
      </x:c>
      <x:c r="R9" s="18" t="s">
        <x:v>226</x:v>
      </x:c>
      <x:c r="S9" s="18" t="s">
        <x:v>227</x:v>
      </x:c>
      <x:c r="T9" s="18" t="s">
        <x:v>348</x:v>
      </x:c>
      <x:c r="U9" s="127" t="str">
        <x:v>10:30</x:v>
      </x:c>
      <x:c r="V9" s="127" t="str">
        <x:v>Tắm Bãi Môn và dọn rác mini 15 phút. Hoạt động trải nghiệm nhẹ nhàng, tăng kết nối với cộng đồng và thiên nhiên địa phương.</x:v>
      </x:c>
      <x:c r="W9" s="127" t="str">
        <x:v>/image/tours/phu-yen-mui-dien-bai-mon-01.jpg</x:v>
      </x:c>
      <x:c r="X9" s="127" t="str">
        <x:v>Phú Yên</x:v>
      </x:c>
      <x:c r="Y9" s="127" t="n">
        <x:v>210</x:v>
      </x:c>
      <x:c r="Z9" s="127" t="str">
        <x:v>Nhịp độ nhẹ nhàng; Hoạt động xanh</x:v>
      </x:c>
      <x:c r="AA9" s="134" t="b">
        <x:v>1</x:v>
      </x:c>
      <x:c r="AB9" s="127" t="n">
        <x:v>2</x:v>
      </x:c>
      <x:c r="AC9" s="93" t="str">
        <x:v>https://i.pinimg.com/736x/1e/18/72/1e1872a16860e1d8c33c060f422dbd0c.jpg</x:v>
      </x:c>
    </x:row>
    <x:row r="10" ht="15" customHeight="1">
      <x:c r="A10" s="16" t="s">
        <x:v>384</x:v>
      </x:c>
      <x:c r="B10" s="16"/>
      <x:c r="C10" s="16" t="s">
        <x:v>173</x:v>
      </x:c>
      <x:c r="D10" s="16">
        <x:v>1</x:v>
      </x:c>
      <x:c r="E10" s="16" t="s">
        <x:v>385</x:v>
      </x:c>
      <x:c r="F10" s="16" t="s">
        <x:v>386</x:v>
      </x:c>
      <x:c r="G10" s="28">
        <x:v>60000</x:v>
      </x:c>
      <x:c r="H10" s="17">
        <x:v>-0.6</x:v>
      </x:c>
      <x:c r="I10" s="16" t="s">
        <x:v>387</x:v>
      </x:c>
      <x:c r="J10" s="16" t="s">
        <x:v>221</x:v>
      </x:c>
      <x:c r="K10" s="16" t="s">
        <x:v>388</x:v>
      </x:c>
      <x:c r="L10" s="16" t="s">
        <x:v>223</x:v>
      </x:c>
      <x:c r="M10" s="16" t="s">
        <x:v>347</x:v>
      </x:c>
      <x:c r="N10" s="20">
        <x:v>1.71</x:v>
      </x:c>
      <x:c r="O10" s="20">
        <x:v>0.6</x:v>
      </x:c>
      <x:c r="P10" s="20">
        <x:v>0.25</x:v>
      </x:c>
      <x:c r="Q10" s="16" t="s">
        <x:v>225</x:v>
      </x:c>
      <x:c r="R10" s="16" t="s">
        <x:v>226</x:v>
      </x:c>
      <x:c r="S10" s="16" t="s">
        <x:v>227</x:v>
      </x:c>
      <x:c r="T10" s="16" t="s">
        <x:v>348</x:v>
      </x:c>
      <x:c r="U10" s="127" t="str">
        <x:v>16:30</x:v>
      </x:c>
      <x:c r="V10" s="127" t="str">
        <x:v>Tham quan Vũng Rô và nghe câu chuyện tàu không số. Tham quan có hướng dẫn, ưu tiên ứng xử văn minh và hạn chế tác động đến điểm đến.</x:v>
      </x:c>
      <x:c r="W10" s="127" t="str">
        <x:v>/image/tours/phu-yen-lang-chai-vung-ro-01.jpg</x:v>
      </x:c>
      <x:c r="X10" s="127" t="str">
        <x:v>Phú Yên</x:v>
      </x:c>
      <x:c r="Y10" s="127" t="n">
        <x:v>360</x:v>
      </x:c>
      <x:c r="Z10" s="127" t="str">
        <x:v>Điểm đến xanh; Trải nghiệm địa phương</x:v>
      </x:c>
      <x:c r="AA10" s="134" t="b">
        <x:v>1</x:v>
      </x:c>
      <x:c r="AB10" s="127" t="n">
        <x:v>3</x:v>
      </x:c>
      <x:c r="AC10" s="93" t="str">
        <x:v>https://i.pinimg.com/736x/1e/18/72/1e1872a16860e1d8c33c060f422dbd0c.jpg</x:v>
      </x:c>
    </x:row>
    <x:row r="11" ht="15" customHeight="1">
      <x:c r="A11" s="18" t="s">
        <x:v>389</x:v>
      </x:c>
      <x:c r="B11" s="18" t="s">
        <x:v>261</x:v>
      </x:c>
      <x:c r="C11" s="18" t="s">
        <x:v>173</x:v>
      </x:c>
      <x:c r="D11" s="18">
        <x:v>1</x:v>
      </x:c>
      <x:c r="E11" s="18" t="s">
        <x:v>390</x:v>
      </x:c>
      <x:c r="F11" s="18" t="s">
        <x:v>391</x:v>
      </x:c>
      <x:c r="G11" s="29">
        <x:v>480000</x:v>
      </x:c>
      <x:c r="H11" s="19">
        <x:v>-2.4</x:v>
      </x:c>
      <x:c r="I11" s="18" t="s">
        <x:v>392</x:v>
      </x:c>
      <x:c r="J11" s="18" t="s">
        <x:v>393</x:v>
      </x:c>
      <x:c r="K11" s="18" t="s">
        <x:v>394</x:v>
      </x:c>
      <x:c r="L11" s="18" t="s">
        <x:v>265</x:v>
      </x:c>
      <x:c r="M11" s="18" t="s">
        <x:v>266</x:v>
      </x:c>
      <x:c r="N11" s="21">
        <x:v>1.6</x:v>
      </x:c>
      <x:c r="O11" s="21">
        <x:v>8</x:v>
      </x:c>
      <x:c r="P11" s="21">
        <x:v>6.5</x:v>
      </x:c>
      <x:c r="Q11" s="18" t="s">
        <x:v>267</x:v>
      </x:c>
      <x:c r="R11" s="18" t="s">
        <x:v>268</x:v>
      </x:c>
      <x:c r="S11" s="18" t="s">
        <x:v>227</x:v>
      </x:c>
      <x:c r="T11" s="18" t="s">
        <x:v>395</x:v>
      </x:c>
      <x:c r="U11" s="127" t="str">
        <x:v>22:00</x:v>
      </x:c>
      <x:c r="V11" s="127" t="str">
        <x:v>Nhận phòng homestay địa phương. Lưu trú tại cơ sở địa phương, ưu tiên tiết kiệm năng lượng và giảm rác thải.</x:v>
      </x:c>
      <x:c r="W11" s="127" t="str">
        <x:v>/image/tours/phu-yen-bien-trong-01.jpg</x:v>
      </x:c>
      <x:c r="X11" s="127" t="str">
        <x:v>Homestay làng chài Hòn Yến giảm nhựa</x:v>
      </x:c>
      <x:c r="Y11" s="127" t="n">
        <x:v>240</x:v>
      </x:c>
      <x:c r="Z11" s="127" t="str">
        <x:v>Lưu trú xanh; Tiết kiệm tài nguyên</x:v>
      </x:c>
      <x:c r="AA11" s="134" t="b">
        <x:v>1</x:v>
      </x:c>
      <x:c r="AB11" s="127" t="n">
        <x:v>4</x:v>
      </x:c>
      <x:c r="AC11" s="93" t="str">
        <x:v>https://i.pinimg.com/736x/e2/4f/59/e24f591500b16e994a8055892f2a7b52.jpg</x:v>
      </x:c>
    </x:row>
    <x:row r="12" ht="15" customHeight="1">
      <x:c r="A12" s="16" t="s">
        <x:v>396</x:v>
      </x:c>
      <x:c r="B12" s="16" t="s">
        <x:v>229</x:v>
      </x:c>
      <x:c r="C12" s="16" t="s">
        <x:v>173</x:v>
      </x:c>
      <x:c r="D12" s="16">
        <x:v>2</x:v>
      </x:c>
      <x:c r="E12" s="16" t="s">
        <x:v>397</x:v>
      </x:c>
      <x:c r="F12" s="16" t="s">
        <x:v>398</x:v>
      </x:c>
      <x:c r="G12" s="28">
        <x:v>180000</x:v>
      </x:c>
      <x:c r="H12" s="17">
        <x:v>-0.7</x:v>
      </x:c>
      <x:c r="I12" s="16" t="s">
        <x:v>352</x:v>
      </x:c>
      <x:c r="J12" s="16" t="s">
        <x:v>231</x:v>
      </x:c>
      <x:c r="K12" s="16" t="s">
        <x:v>353</x:v>
      </x:c>
      <x:c r="L12" s="16" t="s">
        <x:v>354</x:v>
      </x:c>
      <x:c r="M12" s="16" t="s">
        <x:v>355</x:v>
      </x:c>
      <x:c r="N12" s="20">
        <x:v>1.4</x:v>
      </x:c>
      <x:c r="O12" s="20">
        <x:v>1.5</x:v>
      </x:c>
      <x:c r="P12" s="20">
        <x:v>1</x:v>
      </x:c>
      <x:c r="Q12" s="16" t="s">
        <x:v>235</x:v>
      </x:c>
      <x:c r="R12" s="16" t="s">
        <x:v>236</x:v>
      </x:c>
      <x:c r="S12" s="16" t="s">
        <x:v>227</x:v>
      </x:c>
      <x:c r="T12" s="16" t="s">
        <x:v>356</x:v>
      </x:c>
      <x:c r="U12" s="127" t="str">
        <x:v>13:00</x:v>
      </x:c>
      <x:c r="V12" s="127" t="str">
        <x:v>Bữa sáng hải sản địa phương và cà phê Tuy Hòa. Trải nghiệm ẩm thực địa phương, khuyến khích giảm nhựa dùng một lần và hạn chế lãng phí.</x:v>
      </x:c>
      <x:c r="W12" s="127" t="str">
        <x:v>/image/tours/phu-yen-canh-quan-xanh-01.jpg</x:v>
      </x:c>
      <x:c r="X12" s="127" t="str">
        <x:v>Bữa hải sản đầm Ô Loan không nhựa dùng một lần</x:v>
      </x:c>
      <x:c r="Y12" s="127" t="n">
        <x:v>300</x:v>
      </x:c>
      <x:c r="Z12" s="127" t="str">
        <x:v>Ẩm thực địa phương; Giảm rác</x:v>
      </x:c>
      <x:c r="AA12" s="134" t="b">
        <x:v>1</x:v>
      </x:c>
      <x:c r="AB12" s="127" t="n">
        <x:v>1</x:v>
      </x:c>
      <x:c r="AC12" s="93" t="str">
        <x:v>https://i.pinimg.com/1200x/c9/81/68/c9816838986e252b85aab71a13f07d8d.jpg</x:v>
      </x:c>
    </x:row>
    <x:row r="13" ht="15" customHeight="1">
      <x:c r="A13" s="18" t="s">
        <x:v>399</x:v>
      </x:c>
      <x:c r="B13" s="18" t="s">
        <x:v>253</x:v>
      </x:c>
      <x:c r="C13" s="18" t="s">
        <x:v>173</x:v>
      </x:c>
      <x:c r="D13" s="18">
        <x:v>2</x:v>
      </x:c>
      <x:c r="E13" s="18" t="s">
        <x:v>400</x:v>
      </x:c>
      <x:c r="F13" s="18" t="s">
        <x:v>401</x:v>
      </x:c>
      <x:c r="G13" s="29">
        <x:v>180000</x:v>
      </x:c>
      <x:c r="H13" s="19">
        <x:v>-3.2</x:v>
      </x:c>
      <x:c r="I13" s="18" t="s">
        <x:v>339</x:v>
      </x:c>
      <x:c r="J13" s="18" t="s">
        <x:v>255</x:v>
      </x:c>
      <x:c r="K13" s="18" t="s">
        <x:v>340</x:v>
      </x:c>
      <x:c r="L13" s="18" t="s">
        <x:v>257</x:v>
      </x:c>
      <x:c r="M13" s="18" t="s">
        <x:v>258</x:v>
      </x:c>
      <x:c r="N13" s="21">
        <x:v>30.19</x:v>
      </x:c>
      <x:c r="O13" s="21">
        <x:v>0.17100000000000001</x:v>
      </x:c>
      <x:c r="P13" s="21">
        <x:v>6.5000000000000002E-2</x:v>
      </x:c>
      <x:c r="Q13" s="18" t="s">
        <x:v>246</x:v>
      </x:c>
      <x:c r="R13" s="18" t="s">
        <x:v>259</x:v>
      </x:c>
      <x:c r="S13" s="18" t="s">
        <x:v>248</x:v>
      </x:c>
      <x:c r="T13" s="18" t="s">
        <x:v>341</x:v>
      </x:c>
      <x:c r="U13" s="127" t="str">
        <x:v>14:30</x:v>
      </x:c>
      <x:c r="V13" s="127" t="str">
        <x:v>Xe điện về trung tâm, trả khách. Di chuyển theo nhóm nhỏ, ưu tiên phương tiện ít phát thải và nhịp độ phù hợp.</x:v>
      </x:c>
      <x:c r="W13" s="127" t="str">
        <x:v>/image/tours/phu-yen-checkin-ven-bien-01.jpg</x:v>
      </x:c>
      <x:c r="X13" s="127" t="str">
        <x:v>Xe điện nhóm nhỏ Tuy Hòa - Tuy An</x:v>
      </x:c>
      <x:c r="Y13" s="127" t="n">
        <x:v>90</x:v>
      </x:c>
      <x:c r="Z13" s="127" t="str">
        <x:v>Di chuyển xanh; Nhóm nhỏ</x:v>
      </x:c>
      <x:c r="AA13" s="134" t="b">
        <x:v>1</x:v>
      </x:c>
      <x:c r="AB13" s="127" t="n">
        <x:v>2</x:v>
      </x:c>
      <x:c r="AC13" s="93" t="str">
        <x:v>https://i.pinimg.com/736x/12/3f/f2/123ff25efda490eb4228ebea787f66cd.jpg</x:v>
      </x:c>
    </x:row>
    <x:row r="14" ht="15" customHeight="1">
      <x:c r="A14" s="16" t="s">
        <x:v>402</x:v>
      </x:c>
      <x:c r="B14" s="16" t="s">
        <x:v>241</x:v>
      </x:c>
      <x:c r="C14" s="16" t="s">
        <x:v>176</x:v>
      </x:c>
      <x:c r="D14" s="16">
        <x:v>1</x:v>
      </x:c>
      <x:c r="E14" s="16" t="s">
        <x:v>397</x:v>
      </x:c>
      <x:c r="F14" s="16" t="s">
        <x:v>242</x:v>
      </x:c>
      <x:c r="G14" s="28">
        <x:v>45000</x:v>
      </x:c>
      <x:c r="H14" s="17">
        <x:v>-1.1000000000000001</x:v>
      </x:c>
      <x:c r="I14" s="16" t="s">
        <x:v>403</x:v>
      </x:c>
      <x:c r="J14" s="16" t="s">
        <x:v>221</x:v>
      </x:c>
      <x:c r="K14" s="16" t="s">
        <x:v>366</x:v>
      </x:c>
      <x:c r="L14" s="16" t="s">
        <x:v>367</x:v>
      </x:c>
      <x:c r="M14" s="16" t="s">
        <x:v>368</x:v>
      </x:c>
      <x:c r="N14" s="20">
        <x:v>6.43</x:v>
      </x:c>
      <x:c r="O14" s="20">
        <x:v>0.17100000000000001</x:v>
      </x:c>
      <x:c r="P14" s="20">
        <x:v>0</x:v>
      </x:c>
      <x:c r="Q14" s="16" t="s">
        <x:v>246</x:v>
      </x:c>
      <x:c r="R14" s="16" t="s">
        <x:v>247</x:v>
      </x:c>
      <x:c r="S14" s="16" t="s">
        <x:v>248</x:v>
      </x:c>
      <x:c r="T14" s="16" t="s">
        <x:v>369</x:v>
      </x:c>
      <x:c r="U14" s="127" t="str">
        <x:v>10:30</x:v>
      </x:c>
      <x:c r="V14" s="127" t="str">
        <x:v>Trekking nhẹ Bãi Xép - Ghềnh Ông. Tham quan có hướng dẫn, ưu tiên ứng xử văn minh và hạn chế tác động đến điểm đến.</x:v>
      </x:c>
      <x:c r="W14" s="127" t="str">
        <x:v>/image/tours/phu-yen-bai-xep-checkin-01.jpg</x:v>
      </x:c>
      <x:c r="X14" s="127" t="str">
        <x:v>Trekking nhẹ Bãi Xép - Ghềnh Ông</x:v>
      </x:c>
      <x:c r="Y14" s="127" t="n">
        <x:v>150</x:v>
      </x:c>
      <x:c r="Z14" s="127" t="str">
        <x:v>Điểm đến xanh; Trải nghiệm địa phương</x:v>
      </x:c>
      <x:c r="AA14" s="134" t="b">
        <x:v>1</x:v>
      </x:c>
      <x:c r="AB14" s="127" t="n">
        <x:v>1</x:v>
      </x:c>
      <x:c r="AC14" s="93" t="str">
        <x:v>https://i.pinimg.com/1200x/9b/43/5f/9b435f463cb84aa6065b3c0c44eec4cc.jpg</x:v>
      </x:c>
    </x:row>
    <x:row r="15" ht="15" customHeight="1">
      <x:c r="A15" s="18" t="s">
        <x:v>404</x:v>
      </x:c>
      <x:c r="B15" s="18"/>
      <x:c r="C15" s="18" t="s">
        <x:v>176</x:v>
      </x:c>
      <x:c r="D15" s="18">
        <x:v>1</x:v>
      </x:c>
      <x:c r="E15" s="18" t="s">
        <x:v>385</x:v>
      </x:c>
      <x:c r="F15" s="18" t="s">
        <x:v>405</x:v>
      </x:c>
      <x:c r="G15" s="29">
        <x:v>30000</x:v>
      </x:c>
      <x:c r="H15" s="19">
        <x:v>-0.5</x:v>
      </x:c>
      <x:c r="I15" s="18" t="s">
        <x:v>406</x:v>
      </x:c>
      <x:c r="J15" s="18" t="s">
        <x:v>221</x:v>
      </x:c>
      <x:c r="K15" s="18" t="s">
        <x:v>407</x:v>
      </x:c>
      <x:c r="L15" s="18" t="s">
        <x:v>223</x:v>
      </x:c>
      <x:c r="M15" s="18" t="s">
        <x:v>347</x:v>
      </x:c>
      <x:c r="N15" s="21">
        <x:v>1.43</x:v>
      </x:c>
      <x:c r="O15" s="21">
        <x:v>0.6</x:v>
      </x:c>
      <x:c r="P15" s="21">
        <x:v>0.25</x:v>
      </x:c>
      <x:c r="Q15" s="18" t="s">
        <x:v>225</x:v>
      </x:c>
      <x:c r="R15" s="18" t="s">
        <x:v>226</x:v>
      </x:c>
      <x:c r="S15" s="18" t="s">
        <x:v>227</x:v>
      </x:c>
      <x:c r="T15" s="18" t="s">
        <x:v>348</x:v>
      </x:c>
      <x:c r="U15" s="127" t="str">
        <x:v>12:00</x:v>
      </x:c>
      <x:c r="V15" s="127" t="str">
        <x:v>Check-in Tháp Nhạn và tìm hiểu văn hóa Chăm. Tham quan có hướng dẫn, ưu tiên ứng xử văn minh và hạn chế tác động đến điểm đến.</x:v>
      </x:c>
      <x:c r="W15" s="127" t="str">
        <x:v>/image/tours/phu-yen-thap-nghinh-phong-01.jpg</x:v>
      </x:c>
      <x:c r="X15" s="127" t="str">
        <x:v>Phú Yên</x:v>
      </x:c>
      <x:c r="Y15" s="127" t="n">
        <x:v>90</x:v>
      </x:c>
      <x:c r="Z15" s="127" t="str">
        <x:v>Điểm đến xanh; Trải nghiệm địa phương</x:v>
      </x:c>
      <x:c r="AA15" s="134" t="b">
        <x:v>1</x:v>
      </x:c>
      <x:c r="AB15" s="127" t="n">
        <x:v>2</x:v>
      </x:c>
      <x:c r="AC15" s="93" t="str">
        <x:v>https://i.pinimg.com/1200x/53/36/64/533664d17c0a350a076c252ee010e5a6.jpg</x:v>
      </x:c>
    </x:row>
    <x:row r="16" ht="15" customHeight="1">
      <x:c r="A16" s="16" t="s">
        <x:v>408</x:v>
      </x:c>
      <x:c r="B16" s="16"/>
      <x:c r="C16" s="16" t="s">
        <x:v>176</x:v>
      </x:c>
      <x:c r="D16" s="16">
        <x:v>1</x:v>
      </x:c>
      <x:c r="E16" s="16" t="s">
        <x:v>350</x:v>
      </x:c>
      <x:c r="F16" s="16" t="s">
        <x:v>409</x:v>
      </x:c>
      <x:c r="G16" s="28">
        <x:v>180000</x:v>
      </x:c>
      <x:c r="H16" s="17">
        <x:v>-0.4</x:v>
      </x:c>
      <x:c r="I16" s="16" t="s">
        <x:v>352</x:v>
      </x:c>
      <x:c r="J16" s="16" t="s">
        <x:v>231</x:v>
      </x:c>
      <x:c r="K16" s="16" t="s">
        <x:v>340</x:v>
      </x:c>
      <x:c r="L16" s="16" t="s">
        <x:v>354</x:v>
      </x:c>
      <x:c r="M16" s="16" t="s">
        <x:v>355</x:v>
      </x:c>
      <x:c r="N16" s="20">
        <x:v>0.8</x:v>
      </x:c>
      <x:c r="O16" s="20">
        <x:v>1.5</x:v>
      </x:c>
      <x:c r="P16" s="20">
        <x:v>1</x:v>
      </x:c>
      <x:c r="Q16" s="16" t="s">
        <x:v>235</x:v>
      </x:c>
      <x:c r="R16" s="16" t="s">
        <x:v>236</x:v>
      </x:c>
      <x:c r="S16" s="16" t="s">
        <x:v>227</x:v>
      </x:c>
      <x:c r="T16" s="16" t="s">
        <x:v>356</x:v>
      </x:c>
      <x:c r="U16" s="127" t="str">
        <x:v>15:30</x:v>
      </x:c>
      <x:c r="V16" s="127" t="str">
        <x:v>Ăn trưa đặc sản mắt cá ngừ đại dương. Trải nghiệm ẩm thực địa phương, khuyến khích giảm nhựa dùng một lần và hạn chế lãng phí.</x:v>
      </x:c>
      <x:c r="W16" s="127" t="str">
        <x:v>/image/tours/phu-yen-bai-xep-checkin-01.jpg</x:v>
      </x:c>
      <x:c r="X16" s="127" t="str">
        <x:v>Phú Yên</x:v>
      </x:c>
      <x:c r="Y16" s="127" t="n">
        <x:v>210</x:v>
      </x:c>
      <x:c r="Z16" s="127" t="str">
        <x:v>Ẩm thực địa phương; Giảm rác</x:v>
      </x:c>
      <x:c r="AA16" s="134" t="b">
        <x:v>1</x:v>
      </x:c>
      <x:c r="AB16" s="127" t="n">
        <x:v>3</x:v>
      </x:c>
      <x:c r="AC16" s="93" t="str">
        <x:v>https://i.pinimg.com/1200x/53/36/64/533664d17c0a350a076c252ee010e5a6.jpg</x:v>
      </x:c>
    </x:row>
    <x:row r="17" ht="15" customHeight="1">
      <x:c r="A17" s="18" t="s">
        <x:v>410</x:v>
      </x:c>
      <x:c r="B17" s="18" t="s">
        <x:v>253</x:v>
      </x:c>
      <x:c r="C17" s="18" t="s">
        <x:v>176</x:v>
      </x:c>
      <x:c r="D17" s="18">
        <x:v>1</x:v>
      </x:c>
      <x:c r="E17" s="18" t="s">
        <x:v>358</x:v>
      </x:c>
      <x:c r="F17" s="18" t="s">
        <x:v>411</x:v>
      </x:c>
      <x:c r="G17" s="29">
        <x:v>180000</x:v>
      </x:c>
      <x:c r="H17" s="19">
        <x:v>-3.2</x:v>
      </x:c>
      <x:c r="I17" s="18" t="s">
        <x:v>339</x:v>
      </x:c>
      <x:c r="J17" s="18" t="s">
        <x:v>255</x:v>
      </x:c>
      <x:c r="K17" s="18" t="s">
        <x:v>340</x:v>
      </x:c>
      <x:c r="L17" s="18" t="s">
        <x:v>257</x:v>
      </x:c>
      <x:c r="M17" s="18" t="s">
        <x:v>258</x:v>
      </x:c>
      <x:c r="N17" s="21">
        <x:v>30.19</x:v>
      </x:c>
      <x:c r="O17" s="21">
        <x:v>0.17100000000000001</x:v>
      </x:c>
      <x:c r="P17" s="21">
        <x:v>6.5000000000000002E-2</x:v>
      </x:c>
      <x:c r="Q17" s="18" t="s">
        <x:v>246</x:v>
      </x:c>
      <x:c r="R17" s="18" t="s">
        <x:v>259</x:v>
      </x:c>
      <x:c r="S17" s="18" t="s">
        <x:v>248</x:v>
      </x:c>
      <x:c r="T17" s="18" t="s">
        <x:v>341</x:v>
      </x:c>
      <x:c r="U17" s="127" t="str">
        <x:v>17:00</x:v>
      </x:c>
      <x:c r="V17" s="127" t="str">
        <x:v>Xe điện dạo ven biển Tuy Hòa. Di chuyển theo nhóm nhỏ, ưu tiên phương tiện ít phát thải và nhịp độ phù hợp.</x:v>
      </x:c>
      <x:c r="W17" s="127" t="str">
        <x:v>/image/tours/phu-yen-checkin-ven-bien-01.jpg</x:v>
      </x:c>
      <x:c r="X17" s="127" t="str">
        <x:v>Xe điện nhóm nhỏ Tuy Hòa - Tuy An</x:v>
      </x:c>
      <x:c r="Y17" s="127" t="n">
        <x:v>90</x:v>
      </x:c>
      <x:c r="Z17" s="127" t="str">
        <x:v>Di chuyển xanh; Nhóm nhỏ</x:v>
      </x:c>
      <x:c r="AA17" s="134" t="b">
        <x:v>1</x:v>
      </x:c>
      <x:c r="AB17" s="127" t="n">
        <x:v>4</x:v>
      </x:c>
      <x:c r="AC17" s="93" t="str">
        <x:v>https://i.pinimg.com/736x/12/3f/f2/123ff25efda490eb4228ebea787f66cd.jpg</x:v>
      </x:c>
    </x:row>
    <x:row r="18" ht="15" customHeight="1">
      <x:c r="A18" s="16" t="s">
        <x:v>412</x:v>
      </x:c>
      <x:c r="B18" s="16" t="s">
        <x:v>250</x:v>
      </x:c>
      <x:c r="C18" s="16" t="s">
        <x:v>179</x:v>
      </x:c>
      <x:c r="D18" s="16">
        <x:v>1</x:v>
      </x:c>
      <x:c r="E18" s="16" t="s">
        <x:v>343</x:v>
      </x:c>
      <x:c r="F18" s="16" t="s">
        <x:v>251</x:v>
      </x:c>
      <x:c r="G18" s="28">
        <x:v>120000</x:v>
      </x:c>
      <x:c r="H18" s="17">
        <x:v>-1.7</x:v>
      </x:c>
      <x:c r="I18" s="16" t="s">
        <x:v>413</x:v>
      </x:c>
      <x:c r="J18" s="16" t="s">
        <x:v>221</x:v>
      </x:c>
      <x:c r="K18" s="16" t="s">
        <x:v>414</x:v>
      </x:c>
      <x:c r="L18" s="16" t="s">
        <x:v>223</x:v>
      </x:c>
      <x:c r="M18" s="16" t="s">
        <x:v>347</x:v>
      </x:c>
      <x:c r="N18" s="20">
        <x:v>4.8600000000000003</x:v>
      </x:c>
      <x:c r="O18" s="20">
        <x:v>0.6</x:v>
      </x:c>
      <x:c r="P18" s="20">
        <x:v>0.25</x:v>
      </x:c>
      <x:c r="Q18" s="16" t="s">
        <x:v>225</x:v>
      </x:c>
      <x:c r="R18" s="16" t="s">
        <x:v>226</x:v>
      </x:c>
      <x:c r="S18" s="16" t="s">
        <x:v>227</x:v>
      </x:c>
      <x:c r="T18" s="16" t="s">
        <x:v>348</x:v>
      </x:c>
      <x:c r="U18" s="127" t="str">
        <x:v>12:30</x:v>
      </x:c>
      <x:c r="V18" s="127" t="str">
        <x:v>Ngắm san hô Hòn Yến khi thủy triều xuống. Tham quan có hướng dẫn, ưu tiên ứng xử văn minh và hạn chế tác động đến điểm đến.</x:v>
      </x:c>
      <x:c r="W18" s="127" t="str">
        <x:v>/image/tours/phu-yen-bien-trong-01.jpg</x:v>
      </x:c>
      <x:c r="X18" s="127" t="str">
        <x:v>Ngắm san hô Hòn Yến khi thủy triều xuống</x:v>
      </x:c>
      <x:c r="Y18" s="127" t="n">
        <x:v>210</x:v>
      </x:c>
      <x:c r="Z18" s="127" t="str">
        <x:v>Điểm đến xanh; Trải nghiệm địa phương</x:v>
      </x:c>
      <x:c r="AA18" s="134" t="b">
        <x:v>1</x:v>
      </x:c>
      <x:c r="AB18" s="127" t="n">
        <x:v>1</x:v>
      </x:c>
      <x:c r="AC18" s="93" t="str">
        <x:v>https://i.pinimg.com/736x/3f/87/0e/3f870eb589c0b29dd95402a8acf8cf25.jpg</x:v>
      </x:c>
    </x:row>
    <x:row r="19" ht="15" customHeight="1">
      <x:c r="A19" s="18" t="s">
        <x:v>415</x:v>
      </x:c>
      <x:c r="B19" s="18"/>
      <x:c r="C19" s="18" t="s">
        <x:v>179</x:v>
      </x:c>
      <x:c r="D19" s="18">
        <x:v>1</x:v>
      </x:c>
      <x:c r="E19" s="18" t="s">
        <x:v>416</x:v>
      </x:c>
      <x:c r="F19" s="18" t="s">
        <x:v>417</x:v>
      </x:c>
      <x:c r="G19" s="29">
        <x:v>190000</x:v>
      </x:c>
      <x:c r="H19" s="19">
        <x:v>-0.9</x:v>
      </x:c>
      <x:c r="I19" s="18" t="s">
        <x:v>418</x:v>
      </x:c>
      <x:c r="J19" s="18" t="s">
        <x:v>231</x:v>
      </x:c>
      <x:c r="K19" s="18" t="s">
        <x:v>394</x:v>
      </x:c>
      <x:c r="L19" s="18" t="s">
        <x:v>354</x:v>
      </x:c>
      <x:c r="M19" s="18" t="s">
        <x:v>355</x:v>
      </x:c>
      <x:c r="N19" s="21">
        <x:v>1.8</x:v>
      </x:c>
      <x:c r="O19" s="21">
        <x:v>1.5</x:v>
      </x:c>
      <x:c r="P19" s="21">
        <x:v>1</x:v>
      </x:c>
      <x:c r="Q19" s="18" t="s">
        <x:v>235</x:v>
      </x:c>
      <x:c r="R19" s="18" t="s">
        <x:v>236</x:v>
      </x:c>
      <x:c r="S19" s="18" t="s">
        <x:v>227</x:v>
      </x:c>
      <x:c r="T19" s="18" t="s">
        <x:v>356</x:v>
      </x:c>
      <x:c r="U19" s="127" t="str">
        <x:v>17:30</x:v>
      </x:c>
      <x:c r="V19" s="127" t="str">
        <x:v>Ăn trưa làng chài, nhắc không khai thác san hô. Trải nghiệm ẩm thực địa phương, khuyến khích giảm nhựa dùng một lần và hạn chế lãng phí.</x:v>
      </x:c>
      <x:c r="W19" s="127" t="str">
        <x:v>/image/tours/phu-yen-bien-trong-01.jpg</x:v>
      </x:c>
      <x:c r="X19" s="127" t="str">
        <x:v>Phú Yên</x:v>
      </x:c>
      <x:c r="Y19" s="127" t="n">
        <x:v>300</x:v>
      </x:c>
      <x:c r="Z19" s="127" t="str">
        <x:v>Ẩm thực địa phương; Giảm rác</x:v>
      </x:c>
      <x:c r="AA19" s="134" t="b">
        <x:v>1</x:v>
      </x:c>
      <x:c r="AB19" s="127" t="n">
        <x:v>2</x:v>
      </x:c>
      <x:c r="AC19" s="93" t="str">
        <x:v>https://i.pinimg.com/1200x/e6/58/65/e658653f875121e5aadc54c25a1b397b.jpg</x:v>
      </x:c>
    </x:row>
    <x:row r="20" ht="15" customHeight="1">
      <x:c r="A20" s="16" t="s">
        <x:v>419</x:v>
      </x:c>
      <x:c r="B20" s="16" t="s">
        <x:v>261</x:v>
      </x:c>
      <x:c r="C20" s="16" t="s">
        <x:v>179</x:v>
      </x:c>
      <x:c r="D20" s="16">
        <x:v>1</x:v>
      </x:c>
      <x:c r="E20" s="16" t="s">
        <x:v>420</x:v>
      </x:c>
      <x:c r="F20" s="16" t="s">
        <x:v>421</x:v>
      </x:c>
      <x:c r="G20" s="28">
        <x:v>480000</x:v>
      </x:c>
      <x:c r="H20" s="17">
        <x:v>-2.4</x:v>
      </x:c>
      <x:c r="I20" s="16" t="s">
        <x:v>392</x:v>
      </x:c>
      <x:c r="J20" s="16" t="s">
        <x:v>393</x:v>
      </x:c>
      <x:c r="K20" s="16" t="s">
        <x:v>394</x:v>
      </x:c>
      <x:c r="L20" s="16" t="s">
        <x:v>265</x:v>
      </x:c>
      <x:c r="M20" s="16" t="s">
        <x:v>266</x:v>
      </x:c>
      <x:c r="N20" s="20">
        <x:v>1.6</x:v>
      </x:c>
      <x:c r="O20" s="20">
        <x:v>8</x:v>
      </x:c>
      <x:c r="P20" s="20">
        <x:v>6.5</x:v>
      </x:c>
      <x:c r="Q20" s="16" t="s">
        <x:v>267</x:v>
      </x:c>
      <x:c r="R20" s="16" t="s">
        <x:v>268</x:v>
      </x:c>
      <x:c r="S20" s="16" t="s">
        <x:v>227</x:v>
      </x:c>
      <x:c r="T20" s="16" t="s">
        <x:v>395</x:v>
      </x:c>
      <x:c r="U20" s="127" t="str">
        <x:v>21:30</x:v>
      </x:c>
      <x:c r="V20" s="127" t="str">
        <x:v>Nhận phòng homestay làng chài Hòn Yến. Lưu trú tại cơ sở địa phương, ưu tiên tiết kiệm năng lượng và giảm rác thải.</x:v>
      </x:c>
      <x:c r="W20" s="127" t="str">
        <x:v>/image/tours/phu-yen-bien-trong-01.jpg</x:v>
      </x:c>
      <x:c r="X20" s="127" t="str">
        <x:v>Homestay làng chài Hòn Yến giảm nhựa</x:v>
      </x:c>
      <x:c r="Y20" s="127" t="n">
        <x:v>240</x:v>
      </x:c>
      <x:c r="Z20" s="127" t="str">
        <x:v>Lưu trú xanh; Tiết kiệm tài nguyên</x:v>
      </x:c>
      <x:c r="AA20" s="134" t="b">
        <x:v>1</x:v>
      </x:c>
      <x:c r="AB20" s="127" t="n">
        <x:v>3</x:v>
      </x:c>
      <x:c r="AC20" s="93" t="str">
        <x:v>https://i.pinimg.com/736x/e2/4f/59/e24f591500b16e994a8055892f2a7b52.jpg</x:v>
      </x:c>
    </x:row>
    <x:row r="21" ht="15" customHeight="1">
      <x:c r="A21" s="18" t="s">
        <x:v>422</x:v>
      </x:c>
      <x:c r="B21" s="18"/>
      <x:c r="C21" s="18" t="s">
        <x:v>179</x:v>
      </x:c>
      <x:c r="D21" s="18">
        <x:v>2</x:v>
      </x:c>
      <x:c r="E21" s="18" t="s">
        <x:v>337</x:v>
      </x:c>
      <x:c r="F21" s="18" t="s">
        <x:v>423</x:v>
      </x:c>
      <x:c r="G21" s="29">
        <x:v>120000</x:v>
      </x:c>
      <x:c r="H21" s="19">
        <x:v>-1.2</x:v>
      </x:c>
      <x:c r="I21" s="18" t="s">
        <x:v>382</x:v>
      </x:c>
      <x:c r="J21" s="18" t="s">
        <x:v>365</x:v>
      </x:c>
      <x:c r="K21" s="18" t="s">
        <x:v>424</x:v>
      </x:c>
      <x:c r="L21" s="18" t="s">
        <x:v>367</x:v>
      </x:c>
      <x:c r="M21" s="18" t="s">
        <x:v>368</x:v>
      </x:c>
      <x:c r="N21" s="21">
        <x:v>7.02</x:v>
      </x:c>
      <x:c r="O21" s="21">
        <x:v>0.17100000000000001</x:v>
      </x:c>
      <x:c r="P21" s="21">
        <x:v>0</x:v>
      </x:c>
      <x:c r="Q21" s="18" t="s">
        <x:v>246</x:v>
      </x:c>
      <x:c r="R21" s="18" t="s">
        <x:v>247</x:v>
      </x:c>
      <x:c r="S21" s="18" t="s">
        <x:v>248</x:v>
      </x:c>
      <x:c r="T21" s="18" t="s">
        <x:v>369</x:v>
      </x:c>
      <x:c r="U21" s="127" t="str">
        <x:v>13:30</x:v>
      </x:c>
      <x:c r="V21" s="127" t="str">
        <x:v>Di chuyển Nhất Tự Sơn, đi bộ theo con đường cát khi thủy triều phù hợp. Hoạt động trải nghiệm nhẹ nhàng, tăng kết nối với cộng đồng và thiên nhiên địa phương.</x:v>
      </x:c>
      <x:c r="W21" s="127" t="str">
        <x:v>/image/tours/phu-yen-bien-trong-01.jpg</x:v>
      </x:c>
      <x:c r="X21" s="127" t="str">
        <x:v>Phú Yên</x:v>
      </x:c>
      <x:c r="Y21" s="127" t="n">
        <x:v>360</x:v>
      </x:c>
      <x:c r="Z21" s="127" t="str">
        <x:v>Nhịp độ nhẹ nhàng; Hoạt động xanh</x:v>
      </x:c>
      <x:c r="AA21" s="134" t="b">
        <x:v>1</x:v>
      </x:c>
      <x:c r="AB21" s="127" t="n">
        <x:v>1</x:v>
      </x:c>
      <x:c r="AC21" s="93" t="str">
        <x:v>https://i.pinimg.com/1200x/e6/58/65/e658653f875121e5aadc54c25a1b397b.jpg</x:v>
      </x:c>
    </x:row>
    <x:row r="22" ht="15" customHeight="1">
      <x:c r="A22" s="16" t="s">
        <x:v>425</x:v>
      </x:c>
      <x:c r="B22" s="16" t="s">
        <x:v>253</x:v>
      </x:c>
      <x:c r="C22" s="16" t="s">
        <x:v>179</x:v>
      </x:c>
      <x:c r="D22" s="16">
        <x:v>2</x:v>
      </x:c>
      <x:c r="E22" s="16" t="s">
        <x:v>426</x:v>
      </x:c>
      <x:c r="F22" s="16" t="s">
        <x:v>427</x:v>
      </x:c>
      <x:c r="G22" s="28">
        <x:v>180000</x:v>
      </x:c>
      <x:c r="H22" s="17">
        <x:v>-3.2</x:v>
      </x:c>
      <x:c r="I22" s="16" t="s">
        <x:v>339</x:v>
      </x:c>
      <x:c r="J22" s="16" t="s">
        <x:v>255</x:v>
      </x:c>
      <x:c r="K22" s="16" t="s">
        <x:v>340</x:v>
      </x:c>
      <x:c r="L22" s="16" t="s">
        <x:v>257</x:v>
      </x:c>
      <x:c r="M22" s="16" t="s">
        <x:v>258</x:v>
      </x:c>
      <x:c r="N22" s="20">
        <x:v>30.19</x:v>
      </x:c>
      <x:c r="O22" s="20">
        <x:v>0.17100000000000001</x:v>
      </x:c>
      <x:c r="P22" s="20">
        <x:v>6.5000000000000002E-2</x:v>
      </x:c>
      <x:c r="Q22" s="16" t="s">
        <x:v>246</x:v>
      </x:c>
      <x:c r="R22" s="16" t="s">
        <x:v>259</x:v>
      </x:c>
      <x:c r="S22" s="16" t="s">
        <x:v>248</x:v>
      </x:c>
      <x:c r="T22" s="16" t="s">
        <x:v>341</x:v>
      </x:c>
      <x:c r="U22" s="127" t="str">
        <x:v>16:00</x:v>
      </x:c>
      <x:c r="V22" s="127" t="str">
        <x:v>Xe điện về Tuy Hòa nghỉ ngơi. Di chuyển theo nhóm nhỏ, ưu tiên phương tiện ít phát thải và nhịp độ phù hợp.</x:v>
      </x:c>
      <x:c r="W22" s="127" t="str">
        <x:v>/image/tours/phu-yen-checkin-ven-bien-01.jpg</x:v>
      </x:c>
      <x:c r="X22" s="127" t="str">
        <x:v>Xe điện nhóm nhỏ Tuy Hòa - Tuy An</x:v>
      </x:c>
      <x:c r="Y22" s="127" t="n">
        <x:v>90</x:v>
      </x:c>
      <x:c r="Z22" s="127" t="str">
        <x:v>Di chuyển xanh; Nhóm nhỏ</x:v>
      </x:c>
      <x:c r="AA22" s="134" t="b">
        <x:v>1</x:v>
      </x:c>
      <x:c r="AB22" s="127" t="n">
        <x:v>2</x:v>
      </x:c>
      <x:c r="AC22" s="93" t="str">
        <x:v>https://i.pinimg.com/736x/12/3f/f2/123ff25efda490eb4228ebea787f66cd.jpg</x:v>
      </x:c>
    </x:row>
    <x:row r="23" ht="15" customHeight="1">
      <x:c r="A23" s="18" t="s">
        <x:v>428</x:v>
      </x:c>
      <x:c r="B23" s="18" t="s">
        <x:v>229</x:v>
      </x:c>
      <x:c r="C23" s="18" t="s">
        <x:v>179</x:v>
      </x:c>
      <x:c r="D23" s="18">
        <x:v>3</x:v>
      </x:c>
      <x:c r="E23" s="18" t="s">
        <x:v>429</x:v>
      </x:c>
      <x:c r="F23" s="18" t="s">
        <x:v>430</x:v>
      </x:c>
      <x:c r="G23" s="29">
        <x:v>220000</x:v>
      </x:c>
      <x:c r="H23" s="19">
        <x:v>-0.8</x:v>
      </x:c>
      <x:c r="I23" s="18" t="s">
        <x:v>431</x:v>
      </x:c>
      <x:c r="J23" s="18" t="s">
        <x:v>231</x:v>
      </x:c>
      <x:c r="K23" s="18" t="s">
        <x:v>353</x:v>
      </x:c>
      <x:c r="L23" s="18" t="s">
        <x:v>354</x:v>
      </x:c>
      <x:c r="M23" s="18" t="s">
        <x:v>355</x:v>
      </x:c>
      <x:c r="N23" s="21">
        <x:v>1.6</x:v>
      </x:c>
      <x:c r="O23" s="21">
        <x:v>1.5</x:v>
      </x:c>
      <x:c r="P23" s="21">
        <x:v>1</x:v>
      </x:c>
      <x:c r="Q23" s="18" t="s">
        <x:v>235</x:v>
      </x:c>
      <x:c r="R23" s="18" t="s">
        <x:v>236</x:v>
      </x:c>
      <x:c r="S23" s="18" t="s">
        <x:v>227</x:v>
      </x:c>
      <x:c r="T23" s="18" t="s">
        <x:v>356</x:v>
      </x:c>
      <x:c r="U23" s="127" t="str">
        <x:v>10:00</x:v>
      </x:c>
      <x:c r="V23" s="127" t="str">
        <x:v>Bữa sáng đầm Ô Loan và tổng kết hành trình xanh. Trải nghiệm ẩm thực địa phương, khuyến khích giảm nhựa dùng một lần và hạn chế lãng phí.</x:v>
      </x:c>
      <x:c r="W23" s="127" t="str">
        <x:v>/image/tours/phu-yen-canh-quan-xanh-01.jpg</x:v>
      </x:c>
      <x:c r="X23" s="127" t="str">
        <x:v>Bữa hải sản đầm Ô Loan không nhựa dùng một lần</x:v>
      </x:c>
      <x:c r="Y23" s="127" t="n">
        <x:v>90</x:v>
      </x:c>
      <x:c r="Z23" s="127" t="str">
        <x:v>Ẩm thực địa phương; Giảm rác</x:v>
      </x:c>
      <x:c r="AA23" s="134" t="b">
        <x:v>1</x:v>
      </x:c>
      <x:c r="AB23" s="127" t="n">
        <x:v>1</x:v>
      </x:c>
      <x:c r="AC23" s="93" t="str">
        <x:v>https://i.pinimg.com/1200x/c9/81/68/c9816838986e252b85aab71a13f07d8d.jpg</x:v>
      </x:c>
    </x:row>
    <x:row r="24" ht="15" customHeight="1">
      <x:c r="A24" s="16" t="s">
        <x:v>432</x:v>
      </x:c>
      <x:c r="B24" s="16" t="s">
        <x:v>270</x:v>
      </x:c>
      <x:c r="C24" s="16" t="s">
        <x:v>182</x:v>
      </x:c>
      <x:c r="D24" s="16">
        <x:v>1</x:v>
      </x:c>
      <x:c r="E24" s="16" t="s">
        <x:v>397</x:v>
      </x:c>
      <x:c r="F24" s="16" t="s">
        <x:v>271</x:v>
      </x:c>
      <x:c r="G24" s="28">
        <x:v>80000</x:v>
      </x:c>
      <x:c r="H24" s="17">
        <x:v>-2.1</x:v>
      </x:c>
      <x:c r="I24" s="16" t="s">
        <x:v>433</x:v>
      </x:c>
      <x:c r="J24" s="16" t="s">
        <x:v>365</x:v>
      </x:c>
      <x:c r="K24" s="16" t="s">
        <x:v>434</x:v>
      </x:c>
      <x:c r="L24" s="16" t="s">
        <x:v>367</x:v>
      </x:c>
      <x:c r="M24" s="16" t="s">
        <x:v>368</x:v>
      </x:c>
      <x:c r="N24" s="20">
        <x:v>12.28</x:v>
      </x:c>
      <x:c r="O24" s="20">
        <x:v>0.17100000000000001</x:v>
      </x:c>
      <x:c r="P24" s="20">
        <x:v>0</x:v>
      </x:c>
      <x:c r="Q24" s="16" t="s">
        <x:v>246</x:v>
      </x:c>
      <x:c r="R24" s="16" t="s">
        <x:v>247</x:v>
      </x:c>
      <x:c r="S24" s="16" t="s">
        <x:v>248</x:v>
      </x:c>
      <x:c r="T24" s="16" t="s">
        <x:v>369</x:v>
      </x:c>
      <x:c r="U24" s="127" t="str">
        <x:v>10:00</x:v>
      </x:c>
      <x:c r="V24" s="127" t="str">
        <x:v>Đạp xe quanh Hồ Xuân Hương. Hoạt động trải nghiệm nhẹ nhàng, tăng kết nối với cộng đồng và thiên nhiên địa phương.</x:v>
      </x:c>
      <x:c r="W24" s="127" t="str">
        <x:v>/image/tours/da-lat-ho-xuan-huong-01.jpg</x:v>
      </x:c>
      <x:c r="X24" s="127" t="str">
        <x:v>Đạp xe quanh Hồ Xuân Hương</x:v>
      </x:c>
      <x:c r="Y24" s="127" t="n">
        <x:v>120</x:v>
      </x:c>
      <x:c r="Z24" s="127" t="str">
        <x:v>Nhịp độ nhẹ nhàng; Hoạt động xanh</x:v>
      </x:c>
      <x:c r="AA24" s="134" t="b">
        <x:v>1</x:v>
      </x:c>
      <x:c r="AB24" s="127" t="n">
        <x:v>1</x:v>
      </x:c>
      <x:c r="AC24" s="93" t="str">
        <x:v>https://i.pinimg.com/736x/57/3e/6e/573e6e32477855a7ed566e64e07a4c39.jpg</x:v>
      </x:c>
    </x:row>
    <x:row r="25" ht="15" customHeight="1">
      <x:c r="A25" s="18" t="s">
        <x:v>435</x:v>
      </x:c>
      <x:c r="B25" s="18" t="s">
        <x:v>273</x:v>
      </x:c>
      <x:c r="C25" s="18" t="s">
        <x:v>182</x:v>
      </x:c>
      <x:c r="D25" s="18">
        <x:v>1</x:v>
      </x:c>
      <x:c r="E25" s="18" t="s">
        <x:v>436</x:v>
      </x:c>
      <x:c r="F25" s="18" t="s">
        <x:v>274</x:v>
      </x:c>
      <x:c r="G25" s="29">
        <x:v>0</x:v>
      </x:c>
      <x:c r="H25" s="19">
        <x:v>-0.5</x:v>
      </x:c>
      <x:c r="I25" s="18" t="s">
        <x:v>345</x:v>
      </x:c>
      <x:c r="J25" s="18" t="s">
        <x:v>221</x:v>
      </x:c>
      <x:c r="K25" s="18" t="s">
        <x:v>437</x:v>
      </x:c>
      <x:c r="L25" s="18" t="s">
        <x:v>223</x:v>
      </x:c>
      <x:c r="M25" s="18" t="s">
        <x:v>347</x:v>
      </x:c>
      <x:c r="N25" s="21">
        <x:v>1.43</x:v>
      </x:c>
      <x:c r="O25" s="21">
        <x:v>0.6</x:v>
      </x:c>
      <x:c r="P25" s="21">
        <x:v>0.25</x:v>
      </x:c>
      <x:c r="Q25" s="18" t="s">
        <x:v>225</x:v>
      </x:c>
      <x:c r="R25" s="18" t="s">
        <x:v>226</x:v>
      </x:c>
      <x:c r="S25" s="18" t="s">
        <x:v>227</x:v>
      </x:c>
      <x:c r="T25" s="18" t="s">
        <x:v>348</x:v>
      </x:c>
      <x:c r="U25" s="127" t="str">
        <x:v>12:00</x:v>
      </x:c>
      <x:c r="V25" s="127" t="str">
        <x:v>Check-in Quảng trường Lâm Viên. Tham quan có hướng dẫn, ưu tiên ứng xử văn minh và hạn chế tác động đến điểm đến.</x:v>
      </x:c>
      <x:c r="W25" s="127" t="str">
        <x:v>/image/tours/da-lat-quang-truong-lam-vien-01.jpg</x:v>
      </x:c>
      <x:c r="X25" s="127" t="str">
        <x:v>Check-in Quảng trường Lâm Viên</x:v>
      </x:c>
      <x:c r="Y25" s="127" t="n">
        <x:v>120</x:v>
      </x:c>
      <x:c r="Z25" s="127" t="str">
        <x:v>Điểm đến xanh; Trải nghiệm địa phương</x:v>
      </x:c>
      <x:c r="AA25" s="134" t="b">
        <x:v>1</x:v>
      </x:c>
      <x:c r="AB25" s="127" t="n">
        <x:v>2</x:v>
      </x:c>
      <x:c r="AC25" s="93" t="str">
        <x:v>https://i.pinimg.com/736x/21/55/8f/21558f3ae0639ac880decc74e24a4f9a.jpg</x:v>
      </x:c>
    </x:row>
    <x:row r="26" ht="15" customHeight="1">
      <x:c r="A26" s="16" t="s">
        <x:v>438</x:v>
      </x:c>
      <x:c r="B26" s="16"/>
      <x:c r="C26" s="16" t="s">
        <x:v>182</x:v>
      </x:c>
      <x:c r="D26" s="16">
        <x:v>1</x:v>
      </x:c>
      <x:c r="E26" s="16" t="s">
        <x:v>350</x:v>
      </x:c>
      <x:c r="F26" s="16" t="s">
        <x:v>439</x:v>
      </x:c>
      <x:c r="G26" s="28">
        <x:v>150000</x:v>
      </x:c>
      <x:c r="H26" s="17">
        <x:v>-0.7</x:v>
      </x:c>
      <x:c r="I26" s="16" t="s">
        <x:v>352</x:v>
      </x:c>
      <x:c r="J26" s="16" t="s">
        <x:v>231</x:v>
      </x:c>
      <x:c r="K26" s="16" t="s">
        <x:v>440</x:v>
      </x:c>
      <x:c r="L26" s="16" t="s">
        <x:v>354</x:v>
      </x:c>
      <x:c r="M26" s="16" t="s">
        <x:v>355</x:v>
      </x:c>
      <x:c r="N26" s="20">
        <x:v>1.4</x:v>
      </x:c>
      <x:c r="O26" s="20">
        <x:v>1.5</x:v>
      </x:c>
      <x:c r="P26" s="20">
        <x:v>1</x:v>
      </x:c>
      <x:c r="Q26" s="16" t="s">
        <x:v>235</x:v>
      </x:c>
      <x:c r="R26" s="16" t="s">
        <x:v>236</x:v>
      </x:c>
      <x:c r="S26" s="16" t="s">
        <x:v>227</x:v>
      </x:c>
      <x:c r="T26" s="16" t="s">
        <x:v>356</x:v>
      </x:c>
      <x:c r="U26" s="127" t="str">
        <x:v>18:00</x:v>
      </x:c>
      <x:c r="V26" s="127" t="str">
        <x:v>Ăn trưa món Đà Lạt, ưu tiên quán dùng vật liệu tái sử dụng. Trải nghiệm ẩm thực địa phương, khuyến khích giảm nhựa dùng một lần và hạn chế lãng phí.</x:v>
      </x:c>
      <x:c r="W26" s="127" t="str">
        <x:v>/image/tours/da-lat-ho-xuan-huong-01.jpg</x:v>
      </x:c>
      <x:c r="X26" s="127" t="str">
        <x:v>Đà Lạt</x:v>
      </x:c>
      <x:c r="Y26" s="127" t="n">
        <x:v>360</x:v>
      </x:c>
      <x:c r="Z26" s="127" t="str">
        <x:v>Ẩm thực địa phương; Giảm rác</x:v>
      </x:c>
      <x:c r="AA26" s="134" t="b">
        <x:v>1</x:v>
      </x:c>
      <x:c r="AB26" s="127" t="n">
        <x:v>3</x:v>
      </x:c>
      <x:c r="AC26" s="93" t="str">
        <x:v>https://i.pinimg.com/736x/10/f4/97/10f4970291970e2f773327a6ad723bc0.jpg</x:v>
      </x:c>
    </x:row>
    <x:row r="27" ht="15" customHeight="1">
      <x:c r="A27" s="18" t="s">
        <x:v>441</x:v>
      </x:c>
      <x:c r="B27" s="18"/>
      <x:c r="C27" s="18" t="s">
        <x:v>182</x:v>
      </x:c>
      <x:c r="D27" s="18">
        <x:v>1</x:v>
      </x:c>
      <x:c r="E27" s="18" t="s">
        <x:v>442</x:v>
      </x:c>
      <x:c r="F27" s="18" t="s">
        <x:v>443</x:v>
      </x:c>
      <x:c r="G27" s="29">
        <x:v>80000</x:v>
      </x:c>
      <x:c r="H27" s="19">
        <x:v>-0.4</x:v>
      </x:c>
      <x:c r="I27" s="18" t="s">
        <x:v>444</x:v>
      </x:c>
      <x:c r="J27" s="18" t="s">
        <x:v>365</x:v>
      </x:c>
      <x:c r="K27" s="18" t="s">
        <x:v>445</x:v>
      </x:c>
      <x:c r="L27" s="18" t="s">
        <x:v>367</x:v>
      </x:c>
      <x:c r="M27" s="18" t="s">
        <x:v>368</x:v>
      </x:c>
      <x:c r="N27" s="21">
        <x:v>2.34</x:v>
      </x:c>
      <x:c r="O27" s="21">
        <x:v>0.17100000000000001</x:v>
      </x:c>
      <x:c r="P27" s="21">
        <x:v>0</x:v>
      </x:c>
      <x:c r="Q27" s="18" t="s">
        <x:v>246</x:v>
      </x:c>
      <x:c r="R27" s="18" t="s">
        <x:v>247</x:v>
      </x:c>
      <x:c r="S27" s="18" t="s">
        <x:v>248</x:v>
      </x:c>
      <x:c r="T27" s="18" t="s">
        <x:v>369</x:v>
      </x:c>
      <x:c r="U27" s="127" t="str">
        <x:v>20:00</x:v>
      </x:c>
      <x:c r="V27" s="127" t="str">
        <x:v>Dạo chợ đêm Đà Lạt và mua đặc sản địa phương. Hoạt động trải nghiệm nhẹ nhàng, tăng kết nối với cộng đồng và thiên nhiên địa phương.</x:v>
      </x:c>
      <x:c r="W27" s="127" t="str">
        <x:v>/image/tours/da-lat-doc-pho-01.jpg</x:v>
      </x:c>
      <x:c r="X27" s="127" t="str">
        <x:v>Đà Lạt</x:v>
      </x:c>
      <x:c r="Y27" s="127" t="n">
        <x:v>90</x:v>
      </x:c>
      <x:c r="Z27" s="127" t="str">
        <x:v>Nhịp độ nhẹ nhàng; Hoạt động xanh</x:v>
      </x:c>
      <x:c r="AA27" s="134" t="b">
        <x:v>1</x:v>
      </x:c>
      <x:c r="AB27" s="127" t="n">
        <x:v>4</x:v>
      </x:c>
      <x:c r="AC27" s="93" t="str">
        <x:v>https://i.pinimg.com/736x/10/f4/97/10f4970291970e2f773327a6ad723bc0.jpg</x:v>
      </x:c>
    </x:row>
    <x:row r="28" ht="15" customHeight="1">
      <x:c r="A28" s="16" t="s">
        <x:v>446</x:v>
      </x:c>
      <x:c r="B28" s="16" t="s">
        <x:v>276</x:v>
      </x:c>
      <x:c r="C28" s="16" t="s">
        <x:v>185</x:v>
      </x:c>
      <x:c r="D28" s="16">
        <x:v>1</x:v>
      </x:c>
      <x:c r="E28" s="16" t="s">
        <x:v>337</x:v>
      </x:c>
      <x:c r="F28" s="16" t="s">
        <x:v>277</x:v>
      </x:c>
      <x:c r="G28" s="28">
        <x:v>250000</x:v>
      </x:c>
      <x:c r="H28" s="17">
        <x:v>-1.8</x:v>
      </x:c>
      <x:c r="I28" s="16" t="s">
        <x:v>447</x:v>
      </x:c>
      <x:c r="J28" s="16" t="s">
        <x:v>221</x:v>
      </x:c>
      <x:c r="K28" s="16" t="s">
        <x:v>448</x:v>
      </x:c>
      <x:c r="L28" s="16" t="s">
        <x:v>367</x:v>
      </x:c>
      <x:c r="M28" s="16" t="s">
        <x:v>368</x:v>
      </x:c>
      <x:c r="N28" s="20">
        <x:v>10.53</x:v>
      </x:c>
      <x:c r="O28" s="20">
        <x:v>0.17100000000000001</x:v>
      </x:c>
      <x:c r="P28" s="20">
        <x:v>0</x:v>
      </x:c>
      <x:c r="Q28" s="16" t="s">
        <x:v>246</x:v>
      </x:c>
      <x:c r="R28" s="16" t="s">
        <x:v>247</x:v>
      </x:c>
      <x:c r="S28" s="16" t="s">
        <x:v>248</x:v>
      </x:c>
      <x:c r="T28" s="16" t="s">
        <x:v>369</x:v>
      </x:c>
      <x:c r="U28" s="127" t="str">
        <x:v>12:30</x:v>
      </x:c>
      <x:c r="V28" s="127" t="str">
        <x:v>Trekking Langbiang cùng hướng dẫn viên bản địa. Tham quan có hướng dẫn, ưu tiên ứng xử văn minh và hạn chế tác động đến điểm đến.</x:v>
      </x:c>
      <x:c r="W28" s="127" t="str">
        <x:v>/image/tours/da-lat-toan-canh-thanh-pho-01.jpg</x:v>
      </x:c>
      <x:c r="X28" s="127" t="str">
        <x:v>Trekking Langbiang cùng hướng dẫn viên bản địa</x:v>
      </x:c>
      <x:c r="Y28" s="127" t="n">
        <x:v>300</x:v>
      </x:c>
      <x:c r="Z28" s="127" t="str">
        <x:v>Điểm đến xanh; Trải nghiệm địa phương</x:v>
      </x:c>
      <x:c r="AA28" s="134" t="b">
        <x:v>1</x:v>
      </x:c>
      <x:c r="AB28" s="127" t="n">
        <x:v>1</x:v>
      </x:c>
      <x:c r="AC28" s="93" t="str">
        <x:v>https://i.pinimg.com/1200x/ce/2c/ca/ce2ccaa3ae760d552f1f7a765572239f.jpg</x:v>
      </x:c>
    </x:row>
    <x:row r="29" ht="15" customHeight="1">
      <x:c r="A29" s="18" t="s">
        <x:v>449</x:v>
      </x:c>
      <x:c r="B29" s="18"/>
      <x:c r="C29" s="18" t="s">
        <x:v>185</x:v>
      </x:c>
      <x:c r="D29" s="18">
        <x:v>1</x:v>
      </x:c>
      <x:c r="E29" s="18" t="s">
        <x:v>416</x:v>
      </x:c>
      <x:c r="F29" s="18" t="s">
        <x:v>450</x:v>
      </x:c>
      <x:c r="G29" s="29">
        <x:v>170000</x:v>
      </x:c>
      <x:c r="H29" s="19">
        <x:v>-0.7</x:v>
      </x:c>
      <x:c r="I29" s="18" t="s">
        <x:v>352</x:v>
      </x:c>
      <x:c r="J29" s="18" t="s">
        <x:v>231</x:v>
      </x:c>
      <x:c r="K29" s="18" t="s">
        <x:v>451</x:v>
      </x:c>
      <x:c r="L29" s="18" t="s">
        <x:v>354</x:v>
      </x:c>
      <x:c r="M29" s="18" t="s">
        <x:v>355</x:v>
      </x:c>
      <x:c r="N29" s="21">
        <x:v>1.4</x:v>
      </x:c>
      <x:c r="O29" s="21">
        <x:v>1.5</x:v>
      </x:c>
      <x:c r="P29" s="21">
        <x:v>1</x:v>
      </x:c>
      <x:c r="Q29" s="18" t="s">
        <x:v>235</x:v>
      </x:c>
      <x:c r="R29" s="18" t="s">
        <x:v>236</x:v>
      </x:c>
      <x:c r="S29" s="18" t="s">
        <x:v>227</x:v>
      </x:c>
      <x:c r="T29" s="18" t="s">
        <x:v>356</x:v>
      </x:c>
      <x:c r="U29" s="127" t="str">
        <x:v>15:00</x:v>
      </x:c>
      <x:c r="V29" s="127" t="str">
        <x:v>Ăn trưa món cao nguyên tại Lạc Dương. Trải nghiệm ẩm thực địa phương, khuyến khích giảm nhựa dùng một lần và hạn chế lãng phí.</x:v>
      </x:c>
      <x:c r="W29" s="127" t="str">
        <x:v>/image/tours/da-lat-toan-canh-thanh-pho-01.jpg</x:v>
      </x:c>
      <x:c r="X29" s="127" t="str">
        <x:v>Đà Lạt</x:v>
      </x:c>
      <x:c r="Y29" s="127" t="n">
        <x:v>150</x:v>
      </x:c>
      <x:c r="Z29" s="127" t="str">
        <x:v>Ẩm thực địa phương; Giảm rác</x:v>
      </x:c>
      <x:c r="AA29" s="134" t="b">
        <x:v>1</x:v>
      </x:c>
      <x:c r="AB29" s="127" t="n">
        <x:v>2</x:v>
      </x:c>
      <x:c r="AC29" s="93" t="str">
        <x:v>https://i.pinimg.com/1200x/69/d6/e5/69d6e56299838d8728a7670ed21edd91.jpg</x:v>
      </x:c>
    </x:row>
    <x:row r="30" ht="15" customHeight="1">
      <x:c r="A30" s="16" t="s">
        <x:v>452</x:v>
      </x:c>
      <x:c r="B30" s="16"/>
      <x:c r="C30" s="16" t="s">
        <x:v>185</x:v>
      </x:c>
      <x:c r="D30" s="16">
        <x:v>1</x:v>
      </x:c>
      <x:c r="E30" s="16" t="s">
        <x:v>453</x:v>
      </x:c>
      <x:c r="F30" s="16" t="s">
        <x:v>454</x:v>
      </x:c>
      <x:c r="G30" s="28">
        <x:v>120000</x:v>
      </x:c>
      <x:c r="H30" s="17">
        <x:v>-0.9</x:v>
      </x:c>
      <x:c r="I30" s="16" t="s">
        <x:v>455</x:v>
      </x:c>
      <x:c r="J30" s="16" t="s">
        <x:v>365</x:v>
      </x:c>
      <x:c r="K30" s="16" t="s">
        <x:v>456</x:v>
      </x:c>
      <x:c r="L30" s="16" t="s">
        <x:v>223</x:v>
      </x:c>
      <x:c r="M30" s="16" t="s">
        <x:v>347</x:v>
      </x:c>
      <x:c r="N30" s="20">
        <x:v>2.57</x:v>
      </x:c>
      <x:c r="O30" s="20">
        <x:v>0.6</x:v>
      </x:c>
      <x:c r="P30" s="20">
        <x:v>0.25</x:v>
      </x:c>
      <x:c r="Q30" s="16" t="s">
        <x:v>225</x:v>
      </x:c>
      <x:c r="R30" s="16" t="s">
        <x:v>226</x:v>
      </x:c>
      <x:c r="S30" s="16" t="s">
        <x:v>227</x:v>
      </x:c>
      <x:c r="T30" s="16" t="s">
        <x:v>348</x:v>
      </x:c>
      <x:c r="U30" s="127" t="str">
        <x:v>19:00</x:v>
      </x:c>
      <x:c r="V30" s="127" t="str">
        <x:v>Ghé làng Cù Lần, tìm hiểu văn hóa bản địa. Hoạt động trải nghiệm nhẹ nhàng, tăng kết nối với cộng đồng và thiên nhiên địa phương.</x:v>
      </x:c>
      <x:c r="W30" s="127" t="str">
        <x:v>/image/tours/da-lat-rung-thong-01.jpg</x:v>
      </x:c>
      <x:c r="X30" s="127" t="str">
        <x:v>Đà Lạt</x:v>
      </x:c>
      <x:c r="Y30" s="127" t="n">
        <x:v>240</x:v>
      </x:c>
      <x:c r="Z30" s="127" t="str">
        <x:v>Nhịp độ nhẹ nhàng; Hoạt động xanh</x:v>
      </x:c>
      <x:c r="AA30" s="134" t="b">
        <x:v>1</x:v>
      </x:c>
      <x:c r="AB30" s="127" t="n">
        <x:v>3</x:v>
      </x:c>
      <x:c r="AC30" s="93" t="str">
        <x:v>https://i.pinimg.com/1200x/69/d6/e5/69d6e56299838d8728a7670ed21edd91.jpg</x:v>
      </x:c>
    </x:row>
    <x:row r="31" ht="15" customHeight="1">
      <x:c r="A31" s="18" t="s">
        <x:v>457</x:v>
      </x:c>
      <x:c r="B31" s="18" t="s">
        <x:v>294</x:v>
      </x:c>
      <x:c r="C31" s="18" t="s">
        <x:v>185</x:v>
      </x:c>
      <x:c r="D31" s="18">
        <x:v>1</x:v>
      </x:c>
      <x:c r="E31" s="18" t="s">
        <x:v>458</x:v>
      </x:c>
      <x:c r="F31" s="18" t="s">
        <x:v>459</x:v>
      </x:c>
      <x:c r="G31" s="29">
        <x:v>650000</x:v>
      </x:c>
      <x:c r="H31" s="19">
        <x:v>-2.8</x:v>
      </x:c>
      <x:c r="I31" s="18" t="s">
        <x:v>392</x:v>
      </x:c>
      <x:c r="J31" s="18" t="s">
        <x:v>393</x:v>
      </x:c>
      <x:c r="K31" s="18" t="s">
        <x:v>460</x:v>
      </x:c>
      <x:c r="L31" s="18" t="s">
        <x:v>265</x:v>
      </x:c>
      <x:c r="M31" s="18" t="s">
        <x:v>266</x:v>
      </x:c>
      <x:c r="N31" s="21">
        <x:v>1.87</x:v>
      </x:c>
      <x:c r="O31" s="21">
        <x:v>8</x:v>
      </x:c>
      <x:c r="P31" s="21">
        <x:v>6.5</x:v>
      </x:c>
      <x:c r="Q31" s="18" t="s">
        <x:v>267</x:v>
      </x:c>
      <x:c r="R31" s="18" t="s">
        <x:v>268</x:v>
      </x:c>
      <x:c r="S31" s="18" t="s">
        <x:v>227</x:v>
      </x:c>
      <x:c r="T31" s="18" t="s">
        <x:v>395</x:v>
      </x:c>
      <x:c r="U31" s="127" t="str">
        <x:v>23:00</x:v>
      </x:c>
      <x:c r="V31" s="127" t="str">
        <x:v>Nhận phòng homestay xanh ven rừng thông. Lưu trú tại cơ sở địa phương, ưu tiên tiết kiệm năng lượng và giảm rác thải.</x:v>
      </x:c>
      <x:c r="W31" s="127" t="str">
        <x:v>/image/tours/da-lat-ho-tuyen-lam-01.jpg</x:v>
      </x:c>
      <x:c r="X31" s="127" t="str">
        <x:v>Lưu trú xanh ven hồ Tuyền Lâm</x:v>
      </x:c>
      <x:c r="Y31" s="127" t="n">
        <x:v>240</x:v>
      </x:c>
      <x:c r="Z31" s="127" t="str">
        <x:v>Lưu trú xanh; Tiết kiệm tài nguyên</x:v>
      </x:c>
      <x:c r="AA31" s="134" t="b">
        <x:v>1</x:v>
      </x:c>
      <x:c r="AB31" s="127" t="n">
        <x:v>4</x:v>
      </x:c>
      <x:c r="AC31" s="93" t="str">
        <x:v>https://i.pinimg.com/736x/9e/28/e0/9e28e009cfaea443652af842c4b6ccae.jpg</x:v>
      </x:c>
    </x:row>
    <x:row r="32" ht="15" customHeight="1">
      <x:c r="A32" s="16" t="s">
        <x:v>461</x:v>
      </x:c>
      <x:c r="B32" s="16" t="s">
        <x:v>285</x:v>
      </x:c>
      <x:c r="C32" s="16" t="s">
        <x:v>185</x:v>
      </x:c>
      <x:c r="D32" s="16">
        <x:v>2</x:v>
      </x:c>
      <x:c r="E32" s="16" t="s">
        <x:v>429</x:v>
      </x:c>
      <x:c r="F32" s="16" t="s">
        <x:v>462</x:v>
      </x:c>
      <x:c r="G32" s="28">
        <x:v>160000</x:v>
      </x:c>
      <x:c r="H32" s="17">
        <x:v>-1.6</x:v>
      </x:c>
      <x:c r="I32" s="16" t="s">
        <x:v>352</x:v>
      </x:c>
      <x:c r="J32" s="16" t="s">
        <x:v>231</x:v>
      </x:c>
      <x:c r="K32" s="16" t="s">
        <x:v>463</x:v>
      </x:c>
      <x:c r="L32" s="16" t="s">
        <x:v>354</x:v>
      </x:c>
      <x:c r="M32" s="16" t="s">
        <x:v>355</x:v>
      </x:c>
      <x:c r="N32" s="20">
        <x:v>3.2</x:v>
      </x:c>
      <x:c r="O32" s="20">
        <x:v>1.5</x:v>
      </x:c>
      <x:c r="P32" s="20">
        <x:v>1</x:v>
      </x:c>
      <x:c r="Q32" s="16" t="s">
        <x:v>235</x:v>
      </x:c>
      <x:c r="R32" s="16" t="s">
        <x:v>236</x:v>
      </x:c>
      <x:c r="S32" s="16" t="s">
        <x:v>227</x:v>
      </x:c>
      <x:c r="T32" s="16" t="s">
        <x:v>356</x:v>
      </x:c>
      <x:c r="U32" s="127" t="str">
        <x:v>14:00</x:v>
      </x:c>
      <x:c r="V32" s="127" t="str">
        <x:v>Workshop cà phê và nông trại hữu cơ. Trải nghiệm ẩm thực địa phương, khuyến khích giảm nhựa dùng một lần và hạn chế lãng phí.</x:v>
      </x:c>
      <x:c r="W32" s="127" t="str">
        <x:v>/image/tours/da-lat-rung-thong-san-may-01.jpg</x:v>
      </x:c>
      <x:c r="X32" s="127" t="str">
        <x:v>Workshop cà phê Cầu Đất &amp; nông trại hữu cơ</x:v>
      </x:c>
      <x:c r="Y32" s="127" t="n">
        <x:v>330</x:v>
      </x:c>
      <x:c r="Z32" s="127" t="str">
        <x:v>Ẩm thực địa phương; Giảm rác</x:v>
      </x:c>
      <x:c r="AA32" s="134" t="b">
        <x:v>1</x:v>
      </x:c>
      <x:c r="AB32" s="127" t="n">
        <x:v>1</x:v>
      </x:c>
      <x:c r="AC32" s="93" t="str">
        <x:v>https://i.pinimg.com/736x/6b/66/2d/6b662d824945ef388197b07d998f8359.jpg</x:v>
      </x:c>
    </x:row>
    <x:row r="33" ht="15" customHeight="1">
      <x:c r="A33" s="18" t="s">
        <x:v>464</x:v>
      </x:c>
      <x:c r="B33" s="18" t="s">
        <x:v>291</x:v>
      </x:c>
      <x:c r="C33" s="18" t="s">
        <x:v>185</x:v>
      </x:c>
      <x:c r="D33" s="18">
        <x:v>2</x:v>
      </x:c>
      <x:c r="E33" s="18" t="s">
        <x:v>465</x:v>
      </x:c>
      <x:c r="F33" s="18" t="s">
        <x:v>466</x:v>
      </x:c>
      <x:c r="G33" s="29">
        <x:v>120000</x:v>
      </x:c>
      <x:c r="H33" s="19">
        <x:v>-3</x:v>
      </x:c>
      <x:c r="I33" s="18" t="s">
        <x:v>433</x:v>
      </x:c>
      <x:c r="J33" s="18" t="s">
        <x:v>255</x:v>
      </x:c>
      <x:c r="K33" s="18" t="s">
        <x:v>440</x:v>
      </x:c>
      <x:c r="L33" s="18" t="s">
        <x:v>257</x:v>
      </x:c>
      <x:c r="M33" s="18" t="s">
        <x:v>258</x:v>
      </x:c>
      <x:c r="N33" s="21">
        <x:v>28.3</x:v>
      </x:c>
      <x:c r="O33" s="21">
        <x:v>0.17100000000000001</x:v>
      </x:c>
      <x:c r="P33" s="21">
        <x:v>6.5000000000000002E-2</x:v>
      </x:c>
      <x:c r="Q33" s="18" t="s">
        <x:v>246</x:v>
      </x:c>
      <x:c r="R33" s="18" t="s">
        <x:v>259</x:v>
      </x:c>
      <x:c r="S33" s="18" t="s">
        <x:v>248</x:v>
      </x:c>
      <x:c r="T33" s="18" t="s">
        <x:v>341</x:v>
      </x:c>
      <x:c r="U33" s="127" t="str">
        <x:v>15:30</x:v>
      </x:c>
      <x:c r="V33" s="127" t="str">
        <x:v>Di chuyển xe điện/xe đạp về trung tâm. Di chuyển theo nhóm nhỏ, ưu tiên phương tiện ít phát thải và nhịp độ phù hợp.</x:v>
      </x:c>
      <x:c r="W33" s="127" t="str">
        <x:v>/image/tours/da-lat-doc-pho-01.jpg</x:v>
      </x:c>
      <x:c r="X33" s="127" t="str">
        <x:v>Thuê xe đạp/xe điện Đà Lạt</x:v>
      </x:c>
      <x:c r="Y33" s="127" t="n">
        <x:v>90</x:v>
      </x:c>
      <x:c r="Z33" s="127" t="str">
        <x:v>Di chuyển xanh; Nhóm nhỏ</x:v>
      </x:c>
      <x:c r="AA33" s="134" t="b">
        <x:v>1</x:v>
      </x:c>
      <x:c r="AB33" s="127" t="n">
        <x:v>2</x:v>
      </x:c>
      <x:c r="AC33" s="93" t="str">
        <x:v>https://i.pinimg.com/736x/c6/61/09/c6610904eb8a55fc18cdc007f25f1a12.jpg</x:v>
      </x:c>
    </x:row>
    <x:row r="34" ht="15" customHeight="1">
      <x:c r="A34" s="16" t="s">
        <x:v>467</x:v>
      </x:c>
      <x:c r="B34" s="16" t="s">
        <x:v>279</x:v>
      </x:c>
      <x:c r="C34" s="16" t="s">
        <x:v>188</x:v>
      </x:c>
      <x:c r="D34" s="16">
        <x:v>1</x:v>
      </x:c>
      <x:c r="E34" s="16" t="s">
        <x:v>397</x:v>
      </x:c>
      <x:c r="F34" s="16" t="s">
        <x:v>280</x:v>
      </x:c>
      <x:c r="G34" s="28">
        <x:v>180000</x:v>
      </x:c>
      <x:c r="H34" s="17">
        <x:v>-1.4</x:v>
      </x:c>
      <x:c r="I34" s="16" t="s">
        <x:v>382</x:v>
      </x:c>
      <x:c r="J34" s="16" t="s">
        <x:v>365</x:v>
      </x:c>
      <x:c r="K34" s="16" t="s">
        <x:v>468</x:v>
      </x:c>
      <x:c r="L34" s="16" t="s">
        <x:v>367</x:v>
      </x:c>
      <x:c r="M34" s="16" t="s">
        <x:v>368</x:v>
      </x:c>
      <x:c r="N34" s="20">
        <x:v>8.19</x:v>
      </x:c>
      <x:c r="O34" s="20">
        <x:v>0.17100000000000001</x:v>
      </x:c>
      <x:c r="P34" s="20">
        <x:v>0</x:v>
      </x:c>
      <x:c r="Q34" s="16" t="s">
        <x:v>246</x:v>
      </x:c>
      <x:c r="R34" s="16" t="s">
        <x:v>247</x:v>
      </x:c>
      <x:c r="S34" s="16" t="s">
        <x:v>248</x:v>
      </x:c>
      <x:c r="T34" s="16" t="s">
        <x:v>369</x:v>
      </x:c>
      <x:c r="U34" s="127" t="str">
        <x:v>10:30</x:v>
      </x:c>
      <x:c r="V34" s="127" t="str">
        <x:v>Chèo SUP hồ Tuyền Lâm. Hoạt động trải nghiệm nhẹ nhàng, tăng kết nối với cộng đồng và thiên nhiên địa phương.</x:v>
      </x:c>
      <x:c r="W34" s="127" t="str">
        <x:v>/image/tours/da-lat-ho-tuyen-lam-01.jpg</x:v>
      </x:c>
      <x:c r="X34" s="127" t="str">
        <x:v>Chèo SUP hồ Tuyền Lâm</x:v>
      </x:c>
      <x:c r="Y34" s="127" t="n">
        <x:v>150</x:v>
      </x:c>
      <x:c r="Z34" s="127" t="str">
        <x:v>Nhịp độ nhẹ nhàng; Hoạt động xanh</x:v>
      </x:c>
      <x:c r="AA34" s="134" t="b">
        <x:v>1</x:v>
      </x:c>
      <x:c r="AB34" s="127" t="n">
        <x:v>1</x:v>
      </x:c>
      <x:c r="AC34" s="93" t="str">
        <x:v>https://i.pinimg.com/736x/ea/01/24/ea0124134d5a8203b0be16f2ab14c78b.jpg</x:v>
      </x:c>
    </x:row>
    <x:row r="35" ht="15" customHeight="1">
      <x:c r="A35" s="18" t="s">
        <x:v>469</x:v>
      </x:c>
      <x:c r="B35" s="18" t="s">
        <x:v>282</x:v>
      </x:c>
      <x:c r="C35" s="18" t="s">
        <x:v>188</x:v>
      </x:c>
      <x:c r="D35" s="18">
        <x:v>1</x:v>
      </x:c>
      <x:c r="E35" s="18" t="s">
        <x:v>385</x:v>
      </x:c>
      <x:c r="F35" s="18" t="s">
        <x:v>283</x:v>
      </x:c>
      <x:c r="G35" s="29">
        <x:v>30000</x:v>
      </x:c>
      <x:c r="H35" s="19">
        <x:v>-0.7</x:v>
      </x:c>
      <x:c r="I35" s="18" t="s">
        <x:v>360</x:v>
      </x:c>
      <x:c r="J35" s="18" t="s">
        <x:v>221</x:v>
      </x:c>
      <x:c r="K35" s="18" t="s">
        <x:v>470</x:v>
      </x:c>
      <x:c r="L35" s="18" t="s">
        <x:v>223</x:v>
      </x:c>
      <x:c r="M35" s="18" t="s">
        <x:v>347</x:v>
      </x:c>
      <x:c r="N35" s="21">
        <x:v>2</x:v>
      </x:c>
      <x:c r="O35" s="21">
        <x:v>0.6</x:v>
      </x:c>
      <x:c r="P35" s="21">
        <x:v>0.25</x:v>
      </x:c>
      <x:c r="Q35" s="18" t="s">
        <x:v>225</x:v>
      </x:c>
      <x:c r="R35" s="18" t="s">
        <x:v>226</x:v>
      </x:c>
      <x:c r="S35" s="18" t="s">
        <x:v>227</x:v>
      </x:c>
      <x:c r="T35" s="18" t="s">
        <x:v>348</x:v>
      </x:c>
      <x:c r="U35" s="127" t="str">
        <x:v>14:00</x:v>
      </x:c>
      <x:c r="V35" s="127" t="str">
        <x:v>Tham quan Thiền viện Trúc Lâm. Tham quan có hướng dẫn, ưu tiên ứng xử văn minh và hạn chế tác động đến điểm đến.</x:v>
      </x:c>
      <x:c r="W35" s="127" t="str">
        <x:v>/image/tours/da-lat-chua-linh-phuoc-01.jpg</x:v>
      </x:c>
      <x:c r="X35" s="127" t="str">
        <x:v>Tham quan Thiền viện Trúc Lâm</x:v>
      </x:c>
      <x:c r="Y35" s="127" t="n">
        <x:v>210</x:v>
      </x:c>
      <x:c r="Z35" s="127" t="str">
        <x:v>Điểm đến xanh; Trải nghiệm địa phương</x:v>
      </x:c>
      <x:c r="AA35" s="134" t="b">
        <x:v>1</x:v>
      </x:c>
      <x:c r="AB35" s="127" t="n">
        <x:v>2</x:v>
      </x:c>
      <x:c r="AC35" s="93" t="str">
        <x:v>https://i.pinimg.com/1200x/4f/3f/cc/4f3fcc214267658458c9328dd1b4f7d5.jpg</x:v>
      </x:c>
    </x:row>
    <x:row r="36" ht="15" customHeight="1">
      <x:c r="A36" s="16" t="s">
        <x:v>471</x:v>
      </x:c>
      <x:c r="B36" s="16"/>
      <x:c r="C36" s="16" t="s">
        <x:v>188</x:v>
      </x:c>
      <x:c r="D36" s="16">
        <x:v>1</x:v>
      </x:c>
      <x:c r="E36" s="16" t="s">
        <x:v>465</x:v>
      </x:c>
      <x:c r="F36" s="16" t="s">
        <x:v>472</x:v>
      </x:c>
      <x:c r="G36" s="28">
        <x:v>250000</x:v>
      </x:c>
      <x:c r="H36" s="17">
        <x:v>-0.6</x:v>
      </x:c>
      <x:c r="I36" s="16" t="s">
        <x:v>473</x:v>
      </x:c>
      <x:c r="J36" s="16" t="s">
        <x:v>221</x:v>
      </x:c>
      <x:c r="K36" s="16" t="s">
        <x:v>474</x:v>
      </x:c>
      <x:c r="L36" s="16" t="s">
        <x:v>223</x:v>
      </x:c>
      <x:c r="M36" s="16" t="s">
        <x:v>347</x:v>
      </x:c>
      <x:c r="N36" s="20">
        <x:v>1.71</x:v>
      </x:c>
      <x:c r="O36" s="20">
        <x:v>0.6</x:v>
      </x:c>
      <x:c r="P36" s="20">
        <x:v>0.25</x:v>
      </x:c>
      <x:c r="Q36" s="16" t="s">
        <x:v>225</x:v>
      </x:c>
      <x:c r="R36" s="16" t="s">
        <x:v>226</x:v>
      </x:c>
      <x:c r="S36" s="16" t="s">
        <x:v>227</x:v>
      </x:c>
      <x:c r="T36" s="16" t="s">
        <x:v>348</x:v>
      </x:c>
      <x:c r="U36" s="127" t="str">
        <x:v>18:00</x:v>
      </x:c>
      <x:c r="V36" s="127" t="str">
        <x:v>Trải nghiệm thác Datanla và alpine coaster. Tham quan có hướng dẫn, ưu tiên ứng xử văn minh và hạn chế tác động đến điểm đến.</x:v>
      </x:c>
      <x:c r="W36" s="127" t="str">
        <x:v>/image/tours/da-lat-thac-nuoc-01.jpg</x:v>
      </x:c>
      <x:c r="X36" s="127" t="str">
        <x:v>Đà Lạt</x:v>
      </x:c>
      <x:c r="Y36" s="127" t="n">
        <x:v>240</x:v>
      </x:c>
      <x:c r="Z36" s="127" t="str">
        <x:v>Điểm đến xanh; Trải nghiệm địa phương</x:v>
      </x:c>
      <x:c r="AA36" s="134" t="b">
        <x:v>1</x:v>
      </x:c>
      <x:c r="AB36" s="127" t="n">
        <x:v>3</x:v>
      </x:c>
      <x:c r="AC36" s="93" t="str">
        <x:v>https://i.pinimg.com/1200x/b4/cd/b9/b4cdb9c05718a57d34787052447ca7bf.jpg</x:v>
      </x:c>
    </x:row>
    <x:row r="37" ht="15" customHeight="1">
      <x:c r="A37" s="18" t="s">
        <x:v>475</x:v>
      </x:c>
      <x:c r="B37" s="18" t="s">
        <x:v>294</x:v>
      </x:c>
      <x:c r="C37" s="18" t="s">
        <x:v>188</x:v>
      </x:c>
      <x:c r="D37" s="18">
        <x:v>1</x:v>
      </x:c>
      <x:c r="E37" s="18" t="s">
        <x:v>390</x:v>
      </x:c>
      <x:c r="F37" s="18" t="s">
        <x:v>476</x:v>
      </x:c>
      <x:c r="G37" s="29">
        <x:v>650000</x:v>
      </x:c>
      <x:c r="H37" s="19">
        <x:v>-2.8</x:v>
      </x:c>
      <x:c r="I37" s="18" t="s">
        <x:v>392</x:v>
      </x:c>
      <x:c r="J37" s="18" t="s">
        <x:v>393</x:v>
      </x:c>
      <x:c r="K37" s="18" t="s">
        <x:v>460</x:v>
      </x:c>
      <x:c r="L37" s="18" t="s">
        <x:v>265</x:v>
      </x:c>
      <x:c r="M37" s="18" t="s">
        <x:v>266</x:v>
      </x:c>
      <x:c r="N37" s="21">
        <x:v>1.87</x:v>
      </x:c>
      <x:c r="O37" s="21">
        <x:v>8</x:v>
      </x:c>
      <x:c r="P37" s="21">
        <x:v>6.5</x:v>
      </x:c>
      <x:c r="Q37" s="18" t="s">
        <x:v>267</x:v>
      </x:c>
      <x:c r="R37" s="18" t="s">
        <x:v>268</x:v>
      </x:c>
      <x:c r="S37" s="18" t="s">
        <x:v>227</x:v>
      </x:c>
      <x:c r="T37" s="18" t="s">
        <x:v>395</x:v>
      </x:c>
      <x:c r="U37" s="127" t="str">
        <x:v>22:00</x:v>
      </x:c>
      <x:c r="V37" s="127" t="str">
        <x:v>Nghỉ ven hồ Tuyền Lâm. Lưu trú tại cơ sở địa phương, ưu tiên tiết kiệm năng lượng và giảm rác thải.</x:v>
      </x:c>
      <x:c r="W37" s="127" t="str">
        <x:v>/image/tours/da-lat-ho-tuyen-lam-01.jpg</x:v>
      </x:c>
      <x:c r="X37" s="127" t="str">
        <x:v>Lưu trú xanh ven hồ Tuyền Lâm</x:v>
      </x:c>
      <x:c r="Y37" s="127" t="n">
        <x:v>240</x:v>
      </x:c>
      <x:c r="Z37" s="127" t="str">
        <x:v>Lưu trú xanh; Tiết kiệm tài nguyên</x:v>
      </x:c>
      <x:c r="AA37" s="134" t="b">
        <x:v>1</x:v>
      </x:c>
      <x:c r="AB37" s="127" t="n">
        <x:v>4</x:v>
      </x:c>
      <x:c r="AC37" s="93" t="str">
        <x:v>https://i.pinimg.com/736x/9e/28/e0/9e28e009cfaea443652af842c4b6ccae.jpg</x:v>
      </x:c>
    </x:row>
    <x:row r="38" ht="15" customHeight="1">
      <x:c r="A38" s="16" t="s">
        <x:v>477</x:v>
      </x:c>
      <x:c r="B38" s="16"/>
      <x:c r="C38" s="16" t="s">
        <x:v>188</x:v>
      </x:c>
      <x:c r="D38" s="16">
        <x:v>2</x:v>
      </x:c>
      <x:c r="E38" s="16" t="s">
        <x:v>429</x:v>
      </x:c>
      <x:c r="F38" s="16" t="s">
        <x:v>478</x:v>
      </x:c>
      <x:c r="G38" s="28">
        <x:v>120000</x:v>
      </x:c>
      <x:c r="H38" s="17">
        <x:v>-1.1000000000000001</x:v>
      </x:c>
      <x:c r="I38" s="16" t="s">
        <x:v>447</x:v>
      </x:c>
      <x:c r="J38" s="16" t="s">
        <x:v>365</x:v>
      </x:c>
      <x:c r="K38" s="16" t="s">
        <x:v>479</x:v>
      </x:c>
      <x:c r="L38" s="16" t="s">
        <x:v>367</x:v>
      </x:c>
      <x:c r="M38" s="16" t="s">
        <x:v>368</x:v>
      </x:c>
      <x:c r="N38" s="20">
        <x:v>6.43</x:v>
      </x:c>
      <x:c r="O38" s="20">
        <x:v>0.17100000000000001</x:v>
      </x:c>
      <x:c r="P38" s="20">
        <x:v>0</x:v>
      </x:c>
      <x:c r="Q38" s="16" t="s">
        <x:v>246</x:v>
      </x:c>
      <x:c r="R38" s="16" t="s">
        <x:v>247</x:v>
      </x:c>
      <x:c r="S38" s="16" t="s">
        <x:v>248</x:v>
      </x:c>
      <x:c r="T38" s="16" t="s">
        <x:v>369</x:v>
      </x:c>
      <x:c r="U38" s="127" t="str">
        <x:v>14:00</x:v>
      </x:c>
      <x:c r="V38" s="127" t="str">
        <x:v>Đi bộ rừng thông và picnic không rác. Hoạt động trải nghiệm nhẹ nhàng, tăng kết nối với cộng đồng và thiên nhiên địa phương.</x:v>
      </x:c>
      <x:c r="W38" s="127" t="str">
        <x:v>/image/tours/da-lat-rung-thong-01.jpg</x:v>
      </x:c>
      <x:c r="X38" s="127" t="str">
        <x:v>Đà Lạt</x:v>
      </x:c>
      <x:c r="Y38" s="127" t="n">
        <x:v>330</x:v>
      </x:c>
      <x:c r="Z38" s="127" t="str">
        <x:v>Nhịp độ nhẹ nhàng; Hoạt động xanh</x:v>
      </x:c>
      <x:c r="AA38" s="134" t="b">
        <x:v>1</x:v>
      </x:c>
      <x:c r="AB38" s="127" t="n">
        <x:v>1</x:v>
      </x:c>
      <x:c r="AC38" s="93" t="str">
        <x:v>https://i.pinimg.com/1200x/b4/cd/b9/b4cdb9c05718a57d34787052447ca7bf.jpg</x:v>
      </x:c>
    </x:row>
    <x:row r="39" ht="15" customHeight="1">
      <x:c r="A39" s="18" t="s">
        <x:v>480</x:v>
      </x:c>
      <x:c r="B39" s="18" t="s">
        <x:v>291</x:v>
      </x:c>
      <x:c r="C39" s="18" t="s">
        <x:v>188</x:v>
      </x:c>
      <x:c r="D39" s="18">
        <x:v>2</x:v>
      </x:c>
      <x:c r="E39" s="18" t="s">
        <x:v>465</x:v>
      </x:c>
      <x:c r="F39" s="18" t="s">
        <x:v>481</x:v>
      </x:c>
      <x:c r="G39" s="29">
        <x:v>120000</x:v>
      </x:c>
      <x:c r="H39" s="19">
        <x:v>-3</x:v>
      </x:c>
      <x:c r="I39" s="18" t="s">
        <x:v>433</x:v>
      </x:c>
      <x:c r="J39" s="18" t="s">
        <x:v>255</x:v>
      </x:c>
      <x:c r="K39" s="18" t="s">
        <x:v>440</x:v>
      </x:c>
      <x:c r="L39" s="18" t="s">
        <x:v>257</x:v>
      </x:c>
      <x:c r="M39" s="18" t="s">
        <x:v>258</x:v>
      </x:c>
      <x:c r="N39" s="21">
        <x:v>28.3</x:v>
      </x:c>
      <x:c r="O39" s="21">
        <x:v>0.17100000000000001</x:v>
      </x:c>
      <x:c r="P39" s="21">
        <x:v>6.5000000000000002E-2</x:v>
      </x:c>
      <x:c r="Q39" s="18" t="s">
        <x:v>246</x:v>
      </x:c>
      <x:c r="R39" s="18" t="s">
        <x:v>259</x:v>
      </x:c>
      <x:c r="S39" s="18" t="s">
        <x:v>248</x:v>
      </x:c>
      <x:c r="T39" s="18" t="s">
        <x:v>341</x:v>
      </x:c>
      <x:c r="U39" s="127" t="str">
        <x:v>15:30</x:v>
      </x:c>
      <x:c r="V39" s="127" t="str">
        <x:v>Xe điện/xe đạp về trung tâm Đà Lạt. Di chuyển theo nhóm nhỏ, ưu tiên phương tiện ít phát thải và nhịp độ phù hợp.</x:v>
      </x:c>
      <x:c r="W39" s="127" t="str">
        <x:v>/image/tours/da-lat-doc-pho-01.jpg</x:v>
      </x:c>
      <x:c r="X39" s="127" t="str">
        <x:v>Thuê xe đạp/xe điện Đà Lạt</x:v>
      </x:c>
      <x:c r="Y39" s="127" t="n">
        <x:v>90</x:v>
      </x:c>
      <x:c r="Z39" s="127" t="str">
        <x:v>Di chuyển xanh; Nhóm nhỏ</x:v>
      </x:c>
      <x:c r="AA39" s="134" t="b">
        <x:v>1</x:v>
      </x:c>
      <x:c r="AB39" s="127" t="n">
        <x:v>2</x:v>
      </x:c>
      <x:c r="AC39" s="93" t="str">
        <x:v>https://i.pinimg.com/736x/c6/61/09/c6610904eb8a55fc18cdc007f25f1a12.jpg</x:v>
      </x:c>
    </x:row>
    <x:row r="40" ht="15" customHeight="1">
      <x:c r="A40" s="16" t="s">
        <x:v>482</x:v>
      </x:c>
      <x:c r="B40" s="16" t="s">
        <x:v>285</x:v>
      </x:c>
      <x:c r="C40" s="16" t="s">
        <x:v>191</x:v>
      </x:c>
      <x:c r="D40" s="16">
        <x:v>1</x:v>
      </x:c>
      <x:c r="E40" s="16" t="s">
        <x:v>375</x:v>
      </x:c>
      <x:c r="F40" s="16" t="s">
        <x:v>483</x:v>
      </x:c>
      <x:c r="G40" s="28">
        <x:v>160000</x:v>
      </x:c>
      <x:c r="H40" s="17">
        <x:v>-1.6</x:v>
      </x:c>
      <x:c r="I40" s="16" t="s">
        <x:v>484</x:v>
      </x:c>
      <x:c r="J40" s="16" t="s">
        <x:v>365</x:v>
      </x:c>
      <x:c r="K40" s="16" t="s">
        <x:v>463</x:v>
      </x:c>
      <x:c r="L40" s="16" t="s">
        <x:v>367</x:v>
      </x:c>
      <x:c r="M40" s="16" t="s">
        <x:v>368</x:v>
      </x:c>
      <x:c r="N40" s="20">
        <x:v>9.36</x:v>
      </x:c>
      <x:c r="O40" s="20">
        <x:v>0.17100000000000001</x:v>
      </x:c>
      <x:c r="P40" s="20">
        <x:v>0</x:v>
      </x:c>
      <x:c r="Q40" s="16" t="s">
        <x:v>246</x:v>
      </x:c>
      <x:c r="R40" s="16" t="s">
        <x:v>247</x:v>
      </x:c>
      <x:c r="S40" s="16" t="s">
        <x:v>248</x:v>
      </x:c>
      <x:c r="T40" s="16" t="s">
        <x:v>369</x:v>
      </x:c>
      <x:c r="U40" s="127" t="str">
        <x:v>09:30</x:v>
      </x:c>
      <x:c r="V40" s="127" t="str">
        <x:v>Săn mây Cầu Đất và thưởng trà nóng. Hoạt động trải nghiệm nhẹ nhàng, tăng kết nối với cộng đồng và thiên nhiên địa phương.</x:v>
      </x:c>
      <x:c r="W40" s="127" t="str">
        <x:v>/image/tours/da-lat-rung-thong-san-may-01.jpg</x:v>
      </x:c>
      <x:c r="X40" s="127" t="str">
        <x:v>Workshop cà phê Cầu Đất &amp; nông trại hữu cơ</x:v>
      </x:c>
      <x:c r="Y40" s="127" t="n">
        <x:v>285</x:v>
      </x:c>
      <x:c r="Z40" s="127" t="str">
        <x:v>Nhịp độ nhẹ nhàng; Hoạt động xanh</x:v>
      </x:c>
      <x:c r="AA40" s="134" t="b">
        <x:v>1</x:v>
      </x:c>
      <x:c r="AB40" s="127" t="n">
        <x:v>1</x:v>
      </x:c>
      <x:c r="AC40" s="93" t="str">
        <x:v>https://i.pinimg.com/736x/6b/66/2d/6b662d824945ef388197b07d998f8359.jpg</x:v>
      </x:c>
    </x:row>
    <x:row r="41" ht="15" customHeight="1">
      <x:c r="A41" s="18" t="s">
        <x:v>485</x:v>
      </x:c>
      <x:c r="B41" s="18" t="s">
        <x:v>288</x:v>
      </x:c>
      <x:c r="C41" s="18" t="s">
        <x:v>191</x:v>
      </x:c>
      <x:c r="D41" s="18">
        <x:v>1</x:v>
      </x:c>
      <x:c r="E41" s="18" t="s">
        <x:v>486</x:v>
      </x:c>
      <x:c r="F41" s="18" t="s">
        <x:v>289</x:v>
      </x:c>
      <x:c r="G41" s="29">
        <x:v>0</x:v>
      </x:c>
      <x:c r="H41" s="19">
        <x:v>-0.4</x:v>
      </x:c>
      <x:c r="I41" s="18" t="s">
        <x:v>360</x:v>
      </x:c>
      <x:c r="J41" s="18" t="s">
        <x:v>221</x:v>
      </x:c>
      <x:c r="K41" s="18" t="s">
        <x:v>487</x:v>
      </x:c>
      <x:c r="L41" s="18" t="s">
        <x:v>223</x:v>
      </x:c>
      <x:c r="M41" s="18" t="s">
        <x:v>347</x:v>
      </x:c>
      <x:c r="N41" s="21">
        <x:v>1.1399999999999999</x:v>
      </x:c>
      <x:c r="O41" s="21">
        <x:v>0.6</x:v>
      </x:c>
      <x:c r="P41" s="21">
        <x:v>0.25</x:v>
      </x:c>
      <x:c r="Q41" s="18" t="s">
        <x:v>225</x:v>
      </x:c>
      <x:c r="R41" s="18" t="s">
        <x:v>226</x:v>
      </x:c>
      <x:c r="S41" s="18" t="s">
        <x:v>227</x:v>
      </x:c>
      <x:c r="T41" s="18" t="s">
        <x:v>348</x:v>
      </x:c>
      <x:c r="U41" s="127" t="str">
        <x:v>12:00</x:v>
      </x:c>
      <x:c r="V41" s="127" t="str">
        <x:v>Tham quan Chùa Linh Phước. Tham quan có hướng dẫn, ưu tiên ứng xử văn minh và hạn chế tác động đến điểm đến.</x:v>
      </x:c>
      <x:c r="W41" s="127" t="str">
        <x:v>/image/tours/da-lat-chua-linh-phuoc-01.jpg</x:v>
      </x:c>
      <x:c r="X41" s="127" t="str">
        <x:v>Tham quan Chùa Linh Phước</x:v>
      </x:c>
      <x:c r="Y41" s="127" t="n">
        <x:v>150</x:v>
      </x:c>
      <x:c r="Z41" s="127" t="str">
        <x:v>Điểm đến xanh; Trải nghiệm địa phương</x:v>
      </x:c>
      <x:c r="AA41" s="134" t="b">
        <x:v>1</x:v>
      </x:c>
      <x:c r="AB41" s="127" t="n">
        <x:v>2</x:v>
      </x:c>
      <x:c r="AC41" s="93" t="str">
        <x:v>https://i.pinimg.com/1200x/50/81/43/5081433e45c77ae665bfade0671c76e4.jpg</x:v>
      </x:c>
    </x:row>
    <x:row r="42" ht="15" customHeight="1">
      <x:c r="A42" s="16" t="s">
        <x:v>488</x:v>
      </x:c>
      <x:c r="B42" s="16"/>
      <x:c r="C42" s="16" t="s">
        <x:v>191</x:v>
      </x:c>
      <x:c r="D42" s="16">
        <x:v>1</x:v>
      </x:c>
      <x:c r="E42" s="16" t="s">
        <x:v>350</x:v>
      </x:c>
      <x:c r="F42" s="16" t="s">
        <x:v>489</x:v>
      </x:c>
      <x:c r="G42" s="28">
        <x:v>150000</x:v>
      </x:c>
      <x:c r="H42" s="17">
        <x:v>-0.6</x:v>
      </x:c>
      <x:c r="I42" s="16" t="s">
        <x:v>352</x:v>
      </x:c>
      <x:c r="J42" s="16" t="s">
        <x:v>231</x:v>
      </x:c>
      <x:c r="K42" s="16" t="s">
        <x:v>490</x:v>
      </x:c>
      <x:c r="L42" s="16" t="s">
        <x:v>354</x:v>
      </x:c>
      <x:c r="M42" s="16" t="s">
        <x:v>355</x:v>
      </x:c>
      <x:c r="N42" s="20">
        <x:v>1.2</x:v>
      </x:c>
      <x:c r="O42" s="20">
        <x:v>1.5</x:v>
      </x:c>
      <x:c r="P42" s="20">
        <x:v>1</x:v>
      </x:c>
      <x:c r="Q42" s="16" t="s">
        <x:v>235</x:v>
      </x:c>
      <x:c r="R42" s="16" t="s">
        <x:v>236</x:v>
      </x:c>
      <x:c r="S42" s="16" t="s">
        <x:v>227</x:v>
      </x:c>
      <x:c r="T42" s="16" t="s">
        <x:v>356</x:v>
      </x:c>
      <x:c r="U42" s="127" t="str">
        <x:v>16:00</x:v>
      </x:c>
      <x:c r="V42" s="127" t="str">
        <x:v>Ăn trưa tại Trại Mát. Trải nghiệm ẩm thực địa phương, khuyến khích giảm nhựa dùng một lần và hạn chế lãng phí.</x:v>
      </x:c>
      <x:c r="W42" s="127" t="str">
        <x:v>/image/tours/da-lat-rung-thong-san-may-01.jpg</x:v>
      </x:c>
      <x:c r="X42" s="127" t="str">
        <x:v>Đà Lạt</x:v>
      </x:c>
      <x:c r="Y42" s="127" t="n">
        <x:v>240</x:v>
      </x:c>
      <x:c r="Z42" s="127" t="str">
        <x:v>Ẩm thực địa phương; Giảm rác</x:v>
      </x:c>
      <x:c r="AA42" s="134" t="b">
        <x:v>1</x:v>
      </x:c>
      <x:c r="AB42" s="127" t="n">
        <x:v>3</x:v>
      </x:c>
      <x:c r="AC42" s="93" t="str">
        <x:v>https://i.pinimg.com/736x/ab/bc/3e/abbc3ebbbc054d6cb45b48527d25635d.jpg</x:v>
      </x:c>
    </x:row>
    <x:row r="43" ht="15" customHeight="1">
      <x:c r="A43" s="18" t="s">
        <x:v>491</x:v>
      </x:c>
      <x:c r="B43" s="18"/>
      <x:c r="C43" s="18" t="s">
        <x:v>191</x:v>
      </x:c>
      <x:c r="D43" s="18">
        <x:v>1</x:v>
      </x:c>
      <x:c r="E43" s="18" t="s">
        <x:v>492</x:v>
      </x:c>
      <x:c r="F43" s="18" t="s">
        <x:v>493</x:v>
      </x:c>
      <x:c r="G43" s="29">
        <x:v>100000</x:v>
      </x:c>
      <x:c r="H43" s="19">
        <x:v>-0.7</x:v>
      </x:c>
      <x:c r="I43" s="18" t="s">
        <x:v>494</x:v>
      </x:c>
      <x:c r="J43" s="18" t="s">
        <x:v>221</x:v>
      </x:c>
      <x:c r="K43" s="18" t="s">
        <x:v>495</x:v>
      </x:c>
      <x:c r="L43" s="18" t="s">
        <x:v>223</x:v>
      </x:c>
      <x:c r="M43" s="18" t="s">
        <x:v>347</x:v>
      </x:c>
      <x:c r="N43" s="21">
        <x:v>2</x:v>
      </x:c>
      <x:c r="O43" s="21">
        <x:v>0.6</x:v>
      </x:c>
      <x:c r="P43" s="21">
        <x:v>0.25</x:v>
      </x:c>
      <x:c r="Q43" s="18" t="s">
        <x:v>225</x:v>
      </x:c>
      <x:c r="R43" s="18" t="s">
        <x:v>226</x:v>
      </x:c>
      <x:c r="S43" s="18" t="s">
        <x:v>227</x:v>
      </x:c>
      <x:c r="T43" s="18" t="s">
        <x:v>348</x:v>
      </x:c>
      <x:c r="U43" s="127" t="str">
        <x:v>18:00</x:v>
      </x:c>
      <x:c r="V43" s="127" t="str">
        <x:v>Tham quan vườn hoa theo mùa. Tham quan có hướng dẫn, ưu tiên ứng xử văn minh và hạn chế tác động đến điểm đến.</x:v>
      </x:c>
      <x:c r="W43" s="127" t="str">
        <x:v>/image/tours/da-lat-vuon-hoa-01.jpg</x:v>
      </x:c>
      <x:c r="X43" s="127" t="str">
        <x:v>Đà Lạt</x:v>
      </x:c>
      <x:c r="Y43" s="127" t="n">
        <x:v>120</x:v>
      </x:c>
      <x:c r="Z43" s="127" t="str">
        <x:v>Điểm đến xanh; Trải nghiệm địa phương</x:v>
      </x:c>
      <x:c r="AA43" s="134" t="b">
        <x:v>1</x:v>
      </x:c>
      <x:c r="AB43" s="127" t="n">
        <x:v>4</x:v>
      </x:c>
      <x:c r="AC43" s="93" t="str">
        <x:v>https://i.pinimg.com/736x/ab/bc/3e/abbc3ebbbc054d6cb45b48527d25635d.jpg</x:v>
      </x:c>
    </x:row>
    <x:row r="44" ht="15" customHeight="1">
      <x:c r="A44" s="16" t="s">
        <x:v>496</x:v>
      </x:c>
      <x:c r="B44" s="16" t="s">
        <x:v>291</x:v>
      </x:c>
      <x:c r="C44" s="16" t="s">
        <x:v>191</x:v>
      </x:c>
      <x:c r="D44" s="16">
        <x:v>2</x:v>
      </x:c>
      <x:c r="E44" s="16" t="s">
        <x:v>397</x:v>
      </x:c>
      <x:c r="F44" s="16" t="s">
        <x:v>497</x:v>
      </x:c>
      <x:c r="G44" s="28">
        <x:v>120000</x:v>
      </x:c>
      <x:c r="H44" s="17">
        <x:v>-3</x:v>
      </x:c>
      <x:c r="I44" s="16" t="s">
        <x:v>433</x:v>
      </x:c>
      <x:c r="J44" s="16" t="s">
        <x:v>255</x:v>
      </x:c>
      <x:c r="K44" s="16" t="s">
        <x:v>440</x:v>
      </x:c>
      <x:c r="L44" s="16" t="s">
        <x:v>257</x:v>
      </x:c>
      <x:c r="M44" s="16" t="s">
        <x:v>258</x:v>
      </x:c>
      <x:c r="N44" s="20">
        <x:v>28.3</x:v>
      </x:c>
      <x:c r="O44" s="20">
        <x:v>0.17100000000000001</x:v>
      </x:c>
      <x:c r="P44" s="20">
        <x:v>6.5000000000000002E-2</x:v>
      </x:c>
      <x:c r="Q44" s="16" t="s">
        <x:v>246</x:v>
      </x:c>
      <x:c r="R44" s="16" t="s">
        <x:v>259</x:v>
      </x:c>
      <x:c r="S44" s="16" t="s">
        <x:v>248</x:v>
      </x:c>
      <x:c r="T44" s="16" t="s">
        <x:v>341</x:v>
      </x:c>
      <x:c r="U44" s="127" t="str">
        <x:v>11:00</x:v>
      </x:c>
      <x:c r="V44" s="127" t="str">
        <x:v>Đạp xe chậm quanh trung tâm. Di chuyển theo nhóm nhỏ, ưu tiên phương tiện ít phát thải và nhịp độ phù hợp.</x:v>
      </x:c>
      <x:c r="W44" s="127" t="str">
        <x:v>/image/tours/da-lat-doc-pho-01.jpg</x:v>
      </x:c>
      <x:c r="X44" s="127" t="str">
        <x:v>Thuê xe đạp/xe điện Đà Lạt</x:v>
      </x:c>
      <x:c r="Y44" s="127" t="n">
        <x:v>180</x:v>
      </x:c>
      <x:c r="Z44" s="127" t="str">
        <x:v>Di chuyển xanh; Nhóm nhỏ</x:v>
      </x:c>
      <x:c r="AA44" s="134" t="b">
        <x:v>1</x:v>
      </x:c>
      <x:c r="AB44" s="127" t="n">
        <x:v>1</x:v>
      </x:c>
      <x:c r="AC44" s="93" t="str">
        <x:v>https://i.pinimg.com/736x/c6/61/09/c6610904eb8a55fc18cdc007f25f1a12.jpg</x:v>
      </x:c>
    </x:row>
    <x:row r="45" ht="15" customHeight="1">
      <x:c r="A45" s="18" t="s">
        <x:v>498</x:v>
      </x:c>
      <x:c r="B45" s="18" t="s">
        <x:v>273</x:v>
      </x:c>
      <x:c r="C45" s="18" t="s">
        <x:v>191</x:v>
      </x:c>
      <x:c r="D45" s="18">
        <x:v>2</x:v>
      </x:c>
      <x:c r="E45" s="18" t="s">
        <x:v>371</x:v>
      </x:c>
      <x:c r="F45" s="18" t="s">
        <x:v>499</x:v>
      </x:c>
      <x:c r="G45" s="29">
        <x:v>0</x:v>
      </x:c>
      <x:c r="H45" s="19">
        <x:v>-0.5</x:v>
      </x:c>
      <x:c r="I45" s="18" t="s">
        <x:v>431</x:v>
      </x:c>
      <x:c r="J45" s="18" t="s">
        <x:v>365</x:v>
      </x:c>
      <x:c r="K45" s="18" t="s">
        <x:v>437</x:v>
      </x:c>
      <x:c r="L45" s="18" t="s">
        <x:v>223</x:v>
      </x:c>
      <x:c r="M45" s="18" t="s">
        <x:v>347</x:v>
      </x:c>
      <x:c r="N45" s="21">
        <x:v>1.43</x:v>
      </x:c>
      <x:c r="O45" s="21">
        <x:v>0.6</x:v>
      </x:c>
      <x:c r="P45" s="21">
        <x:v>0.25</x:v>
      </x:c>
      <x:c r="Q45" s="18" t="s">
        <x:v>225</x:v>
      </x:c>
      <x:c r="R45" s="18" t="s">
        <x:v>226</x:v>
      </x:c>
      <x:c r="S45" s="18" t="s">
        <x:v>227</x:v>
      </x:c>
      <x:c r="T45" s="18" t="s">
        <x:v>348</x:v>
      </x:c>
      <x:c r="U45" s="127" t="str">
        <x:v>12:30</x:v>
      </x:c>
      <x:c r="V45" s="127" t="str">
        <x:v>Tổng kết hành trình tại Quảng trường Lâm Viên. Hoạt động trải nghiệm nhẹ nhàng, tăng kết nối với cộng đồng và thiên nhiên địa phương.</x:v>
      </x:c>
      <x:c r="W45" s="127" t="str">
        <x:v>/image/tours/da-lat-quang-truong-lam-vien-01.jpg</x:v>
      </x:c>
      <x:c r="X45" s="127" t="str">
        <x:v>Check-in Quảng trường Lâm Viên</x:v>
      </x:c>
      <x:c r="Y45" s="127" t="n">
        <x:v>90</x:v>
      </x:c>
      <x:c r="Z45" s="127" t="str">
        <x:v>Nhịp độ nhẹ nhàng; Hoạt động xanh</x:v>
      </x:c>
      <x:c r="AA45" s="134" t="b">
        <x:v>1</x:v>
      </x:c>
      <x:c r="AB45" s="127" t="n">
        <x:v>2</x:v>
      </x:c>
      <x:c r="AC45" s="93" t="str">
        <x:v>https://i.pinimg.com/736x/21/55/8f/21558f3ae0639ac880decc74e24a4f9a.jpg</x:v>
      </x:c>
    </x:row>
    <x:row r="46" ht="15" customHeight="1">
      <x:c r="A46" s="16" t="s">
        <x:v>500</x:v>
      </x:c>
      <x:c r="B46" s="16" t="s">
        <x:v>306</x:v>
      </x:c>
      <x:c r="C46" s="16" t="s">
        <x:v>194</x:v>
      </x:c>
      <x:c r="D46" s="16">
        <x:v>1</x:v>
      </x:c>
      <x:c r="E46" s="16" t="s">
        <x:v>397</x:v>
      </x:c>
      <x:c r="F46" s="16" t="s">
        <x:v>307</x:v>
      </x:c>
      <x:c r="G46" s="28">
        <x:v>50000</x:v>
      </x:c>
      <x:c r="H46" s="17">
        <x:v>-1</x:v>
      </x:c>
      <x:c r="I46" s="16" t="s">
        <x:v>447</x:v>
      </x:c>
      <x:c r="J46" s="16" t="s">
        <x:v>221</x:v>
      </x:c>
      <x:c r="K46" s="16" t="s">
        <x:v>501</x:v>
      </x:c>
      <x:c r="L46" s="16" t="s">
        <x:v>223</x:v>
      </x:c>
      <x:c r="M46" s="16" t="s">
        <x:v>347</x:v>
      </x:c>
      <x:c r="N46" s="20">
        <x:v>2.86</x:v>
      </x:c>
      <x:c r="O46" s="20">
        <x:v>0.6</x:v>
      </x:c>
      <x:c r="P46" s="20">
        <x:v>0.25</x:v>
      </x:c>
      <x:c r="Q46" s="16" t="s">
        <x:v>225</x:v>
      </x:c>
      <x:c r="R46" s="16" t="s">
        <x:v>226</x:v>
      </x:c>
      <x:c r="S46" s="16" t="s">
        <x:v>227</x:v>
      </x:c>
      <x:c r="T46" s="16" t="s">
        <x:v>348</x:v>
      </x:c>
      <x:c r="U46" s="127" t="str">
        <x:v>12:00</x:v>
      </x:c>
      <x:c r="V46" s="127" t="str">
        <x:v>Bán đảo Sơn Trà - Chùa Linh Ứng. Tham quan có hướng dẫn, ưu tiên ứng xử văn minh và hạn chế tác động đến điểm đến.</x:v>
      </x:c>
      <x:c r="W46" s="127" t="str">
        <x:v>/image/tours/da-nang-son-tra-rung-xanh-01.jpg</x:v>
      </x:c>
      <x:c r="X46" s="127" t="str">
        <x:v>Bán đảo Sơn Trà - Chùa Linh Ứng</x:v>
      </x:c>
      <x:c r="Y46" s="127" t="n">
        <x:v>240</x:v>
      </x:c>
      <x:c r="Z46" s="127" t="str">
        <x:v>Điểm đến xanh; Trải nghiệm địa phương</x:v>
      </x:c>
      <x:c r="AA46" s="134" t="b">
        <x:v>1</x:v>
      </x:c>
      <x:c r="AB46" s="127" t="n">
        <x:v>1</x:v>
      </x:c>
      <x:c r="AC46" s="93" t="str">
        <x:v>https://i.pinimg.com/1200x/ba/83/5c/ba835ca954a9de23675159b00778f2d9.jpg</x:v>
      </x:c>
    </x:row>
    <x:row r="47" ht="15" customHeight="1">
      <x:c r="A47" s="18" t="s">
        <x:v>502</x:v>
      </x:c>
      <x:c r="B47" s="18"/>
      <x:c r="C47" s="18" t="s">
        <x:v>194</x:v>
      </x:c>
      <x:c r="D47" s="18">
        <x:v>1</x:v>
      </x:c>
      <x:c r="E47" s="18" t="s">
        <x:v>350</x:v>
      </x:c>
      <x:c r="F47" s="18" t="s">
        <x:v>503</x:v>
      </x:c>
      <x:c r="G47" s="29">
        <x:v>220000</x:v>
      </x:c>
      <x:c r="H47" s="19">
        <x:v>-0.6</x:v>
      </x:c>
      <x:c r="I47" s="18" t="s">
        <x:v>352</x:v>
      </x:c>
      <x:c r="J47" s="18" t="s">
        <x:v>231</x:v>
      </x:c>
      <x:c r="K47" s="18" t="s">
        <x:v>504</x:v>
      </x:c>
      <x:c r="L47" s="18" t="s">
        <x:v>354</x:v>
      </x:c>
      <x:c r="M47" s="18" t="s">
        <x:v>355</x:v>
      </x:c>
      <x:c r="N47" s="21">
        <x:v>1.2</x:v>
      </x:c>
      <x:c r="O47" s="21">
        <x:v>1.5</x:v>
      </x:c>
      <x:c r="P47" s="21">
        <x:v>1</x:v>
      </x:c>
      <x:c r="Q47" s="18" t="s">
        <x:v>235</x:v>
      </x:c>
      <x:c r="R47" s="18" t="s">
        <x:v>236</x:v>
      </x:c>
      <x:c r="S47" s="18" t="s">
        <x:v>227</x:v>
      </x:c>
      <x:c r="T47" s="18" t="s">
        <x:v>356</x:v>
      </x:c>
      <x:c r="U47" s="127" t="str">
        <x:v>16:30</x:v>
      </x:c>
      <x:c r="V47" s="127" t="str">
        <x:v>Ăn trưa hải sản Đà Nẵng, chọn quán giảm nhựa. Trải nghiệm ẩm thực địa phương, khuyến khích giảm nhựa dùng một lần và hạn chế lãng phí.</x:v>
      </x:c>
      <x:c r="W47" s="127" t="str">
        <x:v>/image/tours/hoi-an-ca-phe-dia-phuong-01.jpg</x:v>
      </x:c>
      <x:c r="X47" s="127" t="str">
        <x:v>Đà Nẵng - Hội An</x:v>
      </x:c>
      <x:c r="Y47" s="127" t="n">
        <x:v>270</x:v>
      </x:c>
      <x:c r="Z47" s="127" t="str">
        <x:v>Ẩm thực địa phương; Giảm rác</x:v>
      </x:c>
      <x:c r="AA47" s="134" t="b">
        <x:v>1</x:v>
      </x:c>
      <x:c r="AB47" s="127" t="n">
        <x:v>2</x:v>
      </x:c>
      <x:c r="AC47" s="93" t="str">
        <x:v>https://i.pinimg.com/736x/f3/34/b3/f334b3d836d0d5fd68f797f7ad3c7021.jpg</x:v>
      </x:c>
    </x:row>
    <x:row r="48" ht="15" customHeight="1">
      <x:c r="A48" s="16" t="s">
        <x:v>505</x:v>
      </x:c>
      <x:c r="B48" s="16"/>
      <x:c r="C48" s="16" t="s">
        <x:v>194</x:v>
      </x:c>
      <x:c r="D48" s="16">
        <x:v>1</x:v>
      </x:c>
      <x:c r="E48" s="16" t="s">
        <x:v>506</x:v>
      </x:c>
      <x:c r="F48" s="16" t="s">
        <x:v>507</x:v>
      </x:c>
      <x:c r="G48" s="28">
        <x:v>0</x:v>
      </x:c>
      <x:c r="H48" s="17">
        <x:v>-1.2</x:v>
      </x:c>
      <x:c r="I48" s="16" t="s">
        <x:v>382</x:v>
      </x:c>
      <x:c r="J48" s="16" t="s">
        <x:v>365</x:v>
      </x:c>
      <x:c r="K48" s="16" t="s">
        <x:v>508</x:v>
      </x:c>
      <x:c r="L48" s="16" t="s">
        <x:v>223</x:v>
      </x:c>
      <x:c r="M48" s="16" t="s">
        <x:v>347</x:v>
      </x:c>
      <x:c r="N48" s="20">
        <x:v>3.43</x:v>
      </x:c>
      <x:c r="O48" s="20">
        <x:v>0.6</x:v>
      </x:c>
      <x:c r="P48" s="20">
        <x:v>0.25</x:v>
      </x:c>
      <x:c r="Q48" s="16" t="s">
        <x:v>225</x:v>
      </x:c>
      <x:c r="R48" s="16" t="s">
        <x:v>226</x:v>
      </x:c>
      <x:c r="S48" s="16" t="s">
        <x:v>227</x:v>
      </x:c>
      <x:c r="T48" s="16" t="s">
        <x:v>348</x:v>
      </x:c>
      <x:c r="U48" s="127" t="str">
        <x:v>20:00</x:v>
      </x:c>
      <x:c r="V48" s="127" t="str">
        <x:v>Tắm biển Mỹ Khê và dọn rác mini 15 phút. Hoạt động trải nghiệm nhẹ nhàng, tăng kết nối với cộng đồng và thiên nhiên địa phương.</x:v>
      </x:c>
      <x:c r="W48" s="127" t="str">
        <x:v>/image/tours/da-nang-bien-my-khe-01.jpg</x:v>
      </x:c>
      <x:c r="X48" s="127" t="str">
        <x:v>Đà Nẵng - Hội An</x:v>
      </x:c>
      <x:c r="Y48" s="127" t="n">
        <x:v>210</x:v>
      </x:c>
      <x:c r="Z48" s="127" t="str">
        <x:v>Nhịp độ nhẹ nhàng; Hoạt động xanh</x:v>
      </x:c>
      <x:c r="AA48" s="134" t="b">
        <x:v>1</x:v>
      </x:c>
      <x:c r="AB48" s="127" t="n">
        <x:v>3</x:v>
      </x:c>
      <x:c r="AC48" s="93" t="str">
        <x:v>https://i.pinimg.com/736x/f3/34/b3/f334b3d836d0d5fd68f797f7ad3c7021.jpg</x:v>
      </x:c>
    </x:row>
    <x:row r="49" ht="15" customHeight="1">
      <x:c r="A49" s="18" t="s">
        <x:v>509</x:v>
      </x:c>
      <x:c r="B49" s="18" t="s">
        <x:v>297</x:v>
      </x:c>
      <x:c r="C49" s="18" t="s">
        <x:v>194</x:v>
      </x:c>
      <x:c r="D49" s="18">
        <x:v>1</x:v>
      </x:c>
      <x:c r="E49" s="18" t="s">
        <x:v>510</x:v>
      </x:c>
      <x:c r="F49" s="18" t="s">
        <x:v>511</x:v>
      </x:c>
      <x:c r="G49" s="29">
        <x:v>0</x:v>
      </x:c>
      <x:c r="H49" s="19">
        <x:v>-0.5</x:v>
      </x:c>
      <x:c r="I49" s="18" t="s">
        <x:v>345</x:v>
      </x:c>
      <x:c r="J49" s="18" t="s">
        <x:v>221</x:v>
      </x:c>
      <x:c r="K49" s="18" t="s">
        <x:v>512</x:v>
      </x:c>
      <x:c r="L49" s="18" t="s">
        <x:v>367</x:v>
      </x:c>
      <x:c r="M49" s="18" t="s">
        <x:v>368</x:v>
      </x:c>
      <x:c r="N49" s="21">
        <x:v>2.92</x:v>
      </x:c>
      <x:c r="O49" s="21">
        <x:v>0.17100000000000001</x:v>
      </x:c>
      <x:c r="P49" s="21">
        <x:v>0</x:v>
      </x:c>
      <x:c r="Q49" s="18" t="s">
        <x:v>246</x:v>
      </x:c>
      <x:c r="R49" s="18" t="s">
        <x:v>247</x:v>
      </x:c>
      <x:c r="S49" s="18" t="s">
        <x:v>248</x:v>
      </x:c>
      <x:c r="T49" s="18" t="s">
        <x:v>369</x:v>
      </x:c>
      <x:c r="U49" s="127" t="str">
        <x:v>22:00</x:v>
      </x:c>
      <x:c r="V49" s="127" t="str">
        <x:v>Dạo Cầu Rồng và sông Hàn buổi tối. Tham quan có hướng dẫn, ưu tiên ứng xử văn minh và hạn chế tác động đến điểm đến.</x:v>
      </x:c>
      <x:c r="W49" s="127" t="str">
        <x:v>/image/tours/da-nang-cau-rong-hoang-hon-01.jpg</x:v>
      </x:c>
      <x:c r="X49" s="127" t="str">
        <x:v>Dạo Cầu Rồng &amp; sông Hàn buổi tối</x:v>
      </x:c>
      <x:c r="Y49" s="127" t="n">
        <x:v>120</x:v>
      </x:c>
      <x:c r="Z49" s="127" t="str">
        <x:v>Điểm đến xanh; Trải nghiệm địa phương</x:v>
      </x:c>
      <x:c r="AA49" s="134" t="b">
        <x:v>1</x:v>
      </x:c>
      <x:c r="AB49" s="127" t="n">
        <x:v>4</x:v>
      </x:c>
      <x:c r="AC49" s="93" t="str">
        <x:v>https://i.pinimg.com/1200x/58/9e/60/589e603ed6614dbf063b018ca1d41044.jpg</x:v>
      </x:c>
    </x:row>
    <x:row r="50" ht="15" customHeight="1">
      <x:c r="A50" s="16" t="s">
        <x:v>513</x:v>
      </x:c>
      <x:c r="B50" s="16" t="s">
        <x:v>321</x:v>
      </x:c>
      <x:c r="C50" s="16" t="s">
        <x:v>194</x:v>
      </x:c>
      <x:c r="D50" s="16">
        <x:v>2</x:v>
      </x:c>
      <x:c r="E50" s="16" t="s">
        <x:v>343</x:v>
      </x:c>
      <x:c r="F50" s="16" t="s">
        <x:v>514</x:v>
      </x:c>
      <x:c r="G50" s="28">
        <x:v>220000</x:v>
      </x:c>
      <x:c r="H50" s="17">
        <x:v>-4.2</x:v>
      </x:c>
      <x:c r="I50" s="16" t="s">
        <x:v>515</x:v>
      </x:c>
      <x:c r="J50" s="16" t="s">
        <x:v>255</x:v>
      </x:c>
      <x:c r="K50" s="16" t="s">
        <x:v>516</x:v>
      </x:c>
      <x:c r="L50" s="16" t="s">
        <x:v>517</x:v>
      </x:c>
      <x:c r="M50" s="16" t="s">
        <x:v>324</x:v>
      </x:c>
      <x:c r="N50" s="20">
        <x:v>33.33</x:v>
      </x:c>
      <x:c r="O50" s="20">
        <x:v>0.17100000000000001</x:v>
      </x:c>
      <x:c r="P50" s="20">
        <x:v>4.4999999999999998E-2</x:v>
      </x:c>
      <x:c r="Q50" s="16" t="s">
        <x:v>246</x:v>
      </x:c>
      <x:c r="R50" s="16" t="s">
        <x:v>325</x:v>
      </x:c>
      <x:c r="S50" s="16" t="s">
        <x:v>248</x:v>
      </x:c>
      <x:c r="T50" s="16" t="s">
        <x:v>341</x:v>
      </x:c>
      <x:c r="U50" s="127" t="str">
        <x:v>11:30</x:v>
      </x:c>
      <x:c r="V50" s="127" t="str">
        <x:v>Xe ghép/xe điện di chuyển nội đô. Di chuyển theo nhóm nhỏ, ưu tiên phương tiện ít phát thải và nhịp độ phù hợp.</x:v>
      </x:c>
      <x:c r="W50" s="127" t="str">
        <x:v>/image/tours/hoi-an-pho-co-den-long-01.jpg</x:v>
      </x:c>
      <x:c r="X50" s="127" t="str">
        <x:v>Xe điện/xe ghép Đà Nẵng - Hội An</x:v>
      </x:c>
      <x:c r="Y50" s="127" t="n">
        <x:v>150</x:v>
      </x:c>
      <x:c r="Z50" s="127" t="str">
        <x:v>Di chuyển xanh; Nhóm nhỏ</x:v>
      </x:c>
      <x:c r="AA50" s="134" t="b">
        <x:v>1</x:v>
      </x:c>
      <x:c r="AB50" s="127" t="n">
        <x:v>1</x:v>
      </x:c>
      <x:c r="AC50" s="93" t="str">
        <x:v>https://i.pinimg.com/736x/b0/0e/34/b00e344658c05b3980d1b99da0a3418a.jpg</x:v>
      </x:c>
    </x:row>
    <x:row r="51" ht="15" customHeight="1">
      <x:c r="A51" s="18" t="s">
        <x:v>518</x:v>
      </x:c>
      <x:c r="B51" s="18"/>
      <x:c r="C51" s="18" t="s">
        <x:v>194</x:v>
      </x:c>
      <x:c r="D51" s="18">
        <x:v>2</x:v>
      </x:c>
      <x:c r="E51" s="18" t="s">
        <x:v>519</x:v>
      </x:c>
      <x:c r="F51" s="18" t="s">
        <x:v>520</x:v>
      </x:c>
      <x:c r="G51" s="29">
        <x:v>180000</x:v>
      </x:c>
      <x:c r="H51" s="19">
        <x:v>-0.5</x:v>
      </x:c>
      <x:c r="I51" s="18" t="s">
        <x:v>431</x:v>
      </x:c>
      <x:c r="J51" s="18" t="s">
        <x:v>231</x:v>
      </x:c>
      <x:c r="K51" s="18" t="s">
        <x:v>516</x:v>
      </x:c>
      <x:c r="L51" s="18" t="s">
        <x:v>354</x:v>
      </x:c>
      <x:c r="M51" s="18" t="s">
        <x:v>355</x:v>
      </x:c>
      <x:c r="N51" s="21">
        <x:v>1</x:v>
      </x:c>
      <x:c r="O51" s="21">
        <x:v>1.5</x:v>
      </x:c>
      <x:c r="P51" s="21">
        <x:v>1</x:v>
      </x:c>
      <x:c r="Q51" s="18" t="s">
        <x:v>235</x:v>
      </x:c>
      <x:c r="R51" s="18" t="s">
        <x:v>236</x:v>
      </x:c>
      <x:c r="S51" s="18" t="s">
        <x:v>227</x:v>
      </x:c>
      <x:c r="T51" s="18" t="s">
        <x:v>356</x:v>
      </x:c>
      <x:c r="U51" s="127" t="str">
        <x:v>13:00</x:v>
      </x:c>
      <x:c r="V51" s="127" t="str">
        <x:v>Ăn trưa địa phương, trả khách. Trải nghiệm ẩm thực địa phương, khuyến khích giảm nhựa dùng một lần và hạn chế lãng phí.</x:v>
      </x:c>
      <x:c r="W51" s="127" t="str">
        <x:v>/image/tours/hoi-an-ca-phe-dia-phuong-01.jpg</x:v>
      </x:c>
      <x:c r="X51" s="127" t="str">
        <x:v>Đà Nẵng - Hội An</x:v>
      </x:c>
      <x:c r="Y51" s="127" t="n">
        <x:v>90</x:v>
      </x:c>
      <x:c r="Z51" s="127" t="str">
        <x:v>Ẩm thực địa phương; Giảm rác</x:v>
      </x:c>
      <x:c r="AA51" s="134" t="b">
        <x:v>1</x:v>
      </x:c>
      <x:c r="AB51" s="127" t="n">
        <x:v>2</x:v>
      </x:c>
      <x:c r="AC51" s="93" t="str">
        <x:v>https://i.pinimg.com/736x/f3/34/b3/f334b3d836d0d5fd68f797f7ad3c7021.jpg</x:v>
      </x:c>
    </x:row>
    <x:row r="52" ht="15" customHeight="1">
      <x:c r="A52" s="16" t="s">
        <x:v>521</x:v>
      </x:c>
      <x:c r="B52" s="16" t="s">
        <x:v>321</x:v>
      </x:c>
      <x:c r="C52" s="16" t="s">
        <x:v>197</x:v>
      </x:c>
      <x:c r="D52" s="16">
        <x:v>1</x:v>
      </x:c>
      <x:c r="E52" s="16" t="s">
        <x:v>337</x:v>
      </x:c>
      <x:c r="F52" s="16" t="s">
        <x:v>522</x:v>
      </x:c>
      <x:c r="G52" s="28">
        <x:v>220000</x:v>
      </x:c>
      <x:c r="H52" s="17">
        <x:v>-4.2</x:v>
      </x:c>
      <x:c r="I52" s="16" t="s">
        <x:v>515</x:v>
      </x:c>
      <x:c r="J52" s="16" t="s">
        <x:v>255</x:v>
      </x:c>
      <x:c r="K52" s="16" t="s">
        <x:v>516</x:v>
      </x:c>
      <x:c r="L52" s="16" t="s">
        <x:v>517</x:v>
      </x:c>
      <x:c r="M52" s="16" t="s">
        <x:v>324</x:v>
      </x:c>
      <x:c r="N52" s="20">
        <x:v>33.33</x:v>
      </x:c>
      <x:c r="O52" s="20">
        <x:v>0.17100000000000001</x:v>
      </x:c>
      <x:c r="P52" s="20">
        <x:v>4.4999999999999998E-2</x:v>
      </x:c>
      <x:c r="Q52" s="16" t="s">
        <x:v>246</x:v>
      </x:c>
      <x:c r="R52" s="16" t="s">
        <x:v>325</x:v>
      </x:c>
      <x:c r="S52" s="16" t="s">
        <x:v>248</x:v>
      </x:c>
      <x:c r="T52" s="16" t="s">
        <x:v>341</x:v>
      </x:c>
      <x:c r="U52" s="127" t="str">
        <x:v>09:30</x:v>
      </x:c>
      <x:c r="V52" s="127" t="str">
        <x:v>Xe ghép đi Bà Nà Hills. Di chuyển theo nhóm nhỏ, ưu tiên phương tiện ít phát thải và nhịp độ phù hợp.</x:v>
      </x:c>
      <x:c r="W52" s="127" t="str">
        <x:v>/image/tours/hoi-an-pho-co-den-long-01.jpg</x:v>
      </x:c>
      <x:c r="X52" s="127" t="str">
        <x:v>Xe điện/xe ghép Đà Nẵng - Hội An</x:v>
      </x:c>
      <x:c r="Y52" s="127" t="n">
        <x:v>120</x:v>
      </x:c>
      <x:c r="Z52" s="127" t="str">
        <x:v>Di chuyển xanh; Nhóm nhỏ</x:v>
      </x:c>
      <x:c r="AA52" s="134" t="b">
        <x:v>1</x:v>
      </x:c>
      <x:c r="AB52" s="127" t="n">
        <x:v>1</x:v>
      </x:c>
      <x:c r="AC52" s="93" t="str">
        <x:v>https://i.pinimg.com/736x/b0/0e/34/b00e344658c05b3980d1b99da0a3418a.jpg</x:v>
      </x:c>
    </x:row>
    <x:row r="53" ht="15" customHeight="1">
      <x:c r="A53" s="18" t="s">
        <x:v>523</x:v>
      </x:c>
      <x:c r="B53" s="18" t="s">
        <x:v>300</x:v>
      </x:c>
      <x:c r="C53" s="18" t="s">
        <x:v>197</x:v>
      </x:c>
      <x:c r="D53" s="18">
        <x:v>1</x:v>
      </x:c>
      <x:c r="E53" s="18" t="s">
        <x:v>486</x:v>
      </x:c>
      <x:c r="F53" s="18" t="s">
        <x:v>524</x:v>
      </x:c>
      <x:c r="G53" s="29">
        <x:v>950000</x:v>
      </x:c>
      <x:c r="H53" s="19">
        <x:v>-0.8</x:v>
      </x:c>
      <x:c r="I53" s="18" t="s">
        <x:v>345</x:v>
      </x:c>
      <x:c r="J53" s="18" t="s">
        <x:v>221</x:v>
      </x:c>
      <x:c r="K53" s="18" t="s">
        <x:v>525</x:v>
      </x:c>
      <x:c r="L53" s="18" t="s">
        <x:v>223</x:v>
      </x:c>
      <x:c r="M53" s="18" t="s">
        <x:v>347</x:v>
      </x:c>
      <x:c r="N53" s="21">
        <x:v>2.29</x:v>
      </x:c>
      <x:c r="O53" s="21">
        <x:v>0.6</x:v>
      </x:c>
      <x:c r="P53" s="21">
        <x:v>0.25</x:v>
      </x:c>
      <x:c r="Q53" s="18" t="s">
        <x:v>225</x:v>
      </x:c>
      <x:c r="R53" s="18" t="s">
        <x:v>226</x:v>
      </x:c>
      <x:c r="S53" s="18" t="s">
        <x:v>227</x:v>
      </x:c>
      <x:c r="T53" s="18" t="s">
        <x:v>348</x:v>
      </x:c>
      <x:c r="U53" s="127" t="str">
        <x:v>12:30</x:v>
      </x:c>
      <x:c r="V53" s="127" t="str">
        <x:v>Tham quan Cầu Vàng trong mây. Tham quan có hướng dẫn, ưu tiên ứng xử văn minh và hạn chế tác động đến điểm đến.</x:v>
      </x:c>
      <x:c r="W53" s="127" t="str">
        <x:v>/image/tours/da-nang-cau-vang-ba-na-hills-01.jpg</x:v>
      </x:c>
      <x:c r="X53" s="127" t="str">
        <x:v>Vé Cầu Vàng - Bà Nà Hills</x:v>
      </x:c>
      <x:c r="Y53" s="127" t="n">
        <x:v>180</x:v>
      </x:c>
      <x:c r="Z53" s="127" t="str">
        <x:v>Điểm đến xanh; Trải nghiệm địa phương</x:v>
      </x:c>
      <x:c r="AA53" s="134" t="b">
        <x:v>1</x:v>
      </x:c>
      <x:c r="AB53" s="127" t="n">
        <x:v>2</x:v>
      </x:c>
      <x:c r="AC53" s="93" t="str">
        <x:v>https://i.pinimg.com/1200x/0f/6e/d5/0f6ed53001e1e7e73eb761f57062f899.jpg</x:v>
      </x:c>
    </x:row>
    <x:row r="54" ht="15" customHeight="1">
      <x:c r="A54" s="16" t="s">
        <x:v>526</x:v>
      </x:c>
      <x:c r="B54" s="16"/>
      <x:c r="C54" s="16" t="s">
        <x:v>197</x:v>
      </x:c>
      <x:c r="D54" s="16">
        <x:v>1</x:v>
      </x:c>
      <x:c r="E54" s="16" t="s">
        <x:v>416</x:v>
      </x:c>
      <x:c r="F54" s="16" t="s">
        <x:v>527</x:v>
      </x:c>
      <x:c r="G54" s="28">
        <x:v>350000</x:v>
      </x:c>
      <x:c r="H54" s="17">
        <x:v>-0.4</x:v>
      </x:c>
      <x:c r="I54" s="16" t="s">
        <x:v>352</x:v>
      </x:c>
      <x:c r="J54" s="16" t="s">
        <x:v>231</x:v>
      </x:c>
      <x:c r="K54" s="16" t="s">
        <x:v>525</x:v>
      </x:c>
      <x:c r="L54" s="16" t="s">
        <x:v>354</x:v>
      </x:c>
      <x:c r="M54" s="16" t="s">
        <x:v>355</x:v>
      </x:c>
      <x:c r="N54" s="20">
        <x:v>0.8</x:v>
      </x:c>
      <x:c r="O54" s="20">
        <x:v>1.5</x:v>
      </x:c>
      <x:c r="P54" s="20">
        <x:v>1</x:v>
      </x:c>
      <x:c r="Q54" s="16" t="s">
        <x:v>235</x:v>
      </x:c>
      <x:c r="R54" s="16" t="s">
        <x:v>236</x:v>
      </x:c>
      <x:c r="S54" s="16" t="s">
        <x:v>227</x:v>
      </x:c>
      <x:c r="T54" s="16" t="s">
        <x:v>356</x:v>
      </x:c>
      <x:c r="U54" s="127" t="str">
        <x:v>16:30</x:v>
      </x:c>
      <x:c r="V54" s="127" t="str">
        <x:v>Ăn trưa buffet trong khu du lịch. Trải nghiệm ẩm thực địa phương, khuyến khích giảm nhựa dùng một lần và hạn chế lãng phí.</x:v>
      </x:c>
      <x:c r="W54" s="127" t="str">
        <x:v>/image/tours/hoi-an-ca-phe-dia-phuong-01.jpg</x:v>
      </x:c>
      <x:c r="X54" s="127" t="str">
        <x:v>Đà Nẵng - Hội An</x:v>
      </x:c>
      <x:c r="Y54" s="127" t="n">
        <x:v>240</x:v>
      </x:c>
      <x:c r="Z54" s="127" t="str">
        <x:v>Ẩm thực địa phương; Giảm rác</x:v>
      </x:c>
      <x:c r="AA54" s="134" t="b">
        <x:v>1</x:v>
      </x:c>
      <x:c r="AB54" s="127" t="n">
        <x:v>3</x:v>
      </x:c>
      <x:c r="AC54" s="93" t="str">
        <x:v>https://i.pinimg.com/736x/3d/a1/1f/3da11f5f8766b7c71fdce561420950e1.jpg</x:v>
      </x:c>
    </x:row>
    <x:row r="55" ht="15" customHeight="1">
      <x:c r="A55" s="18" t="s">
        <x:v>528</x:v>
      </x:c>
      <x:c r="B55" s="18" t="s">
        <x:v>321</x:v>
      </x:c>
      <x:c r="C55" s="18" t="s">
        <x:v>197</x:v>
      </x:c>
      <x:c r="D55" s="18">
        <x:v>1</x:v>
      </x:c>
      <x:c r="E55" s="18" t="s">
        <x:v>506</x:v>
      </x:c>
      <x:c r="F55" s="18" t="s">
        <x:v>529</x:v>
      </x:c>
      <x:c r="G55" s="29">
        <x:v>220000</x:v>
      </x:c>
      <x:c r="H55" s="19">
        <x:v>-4.2</x:v>
      </x:c>
      <x:c r="I55" s="18" t="s">
        <x:v>515</x:v>
      </x:c>
      <x:c r="J55" s="18" t="s">
        <x:v>255</x:v>
      </x:c>
      <x:c r="K55" s="18" t="s">
        <x:v>516</x:v>
      </x:c>
      <x:c r="L55" s="18" t="s">
        <x:v>517</x:v>
      </x:c>
      <x:c r="M55" s="18" t="s">
        <x:v>324</x:v>
      </x:c>
      <x:c r="N55" s="21">
        <x:v>33.33</x:v>
      </x:c>
      <x:c r="O55" s="21">
        <x:v>0.17100000000000001</x:v>
      </x:c>
      <x:c r="P55" s="21">
        <x:v>4.4999999999999998E-2</x:v>
      </x:c>
      <x:c r="Q55" s="18" t="s">
        <x:v>246</x:v>
      </x:c>
      <x:c r="R55" s="18" t="s">
        <x:v>325</x:v>
      </x:c>
      <x:c r="S55" s="18" t="s">
        <x:v>248</x:v>
      </x:c>
      <x:c r="T55" s="18" t="s">
        <x:v>341</x:v>
      </x:c>
      <x:c r="U55" s="127" t="str">
        <x:v>18:00</x:v>
      </x:c>
      <x:c r="V55" s="127" t="str">
        <x:v>Xe ghép về trung tâm Đà Nẵng. Di chuyển theo nhóm nhỏ, ưu tiên phương tiện ít phát thải và nhịp độ phù hợp.</x:v>
      </x:c>
      <x:c r="W55" s="127" t="str">
        <x:v>/image/tours/hoi-an-pho-co-den-long-01.jpg</x:v>
      </x:c>
      <x:c r="X55" s="127" t="str">
        <x:v>Xe điện/xe ghép Đà Nẵng - Hội An</x:v>
      </x:c>
      <x:c r="Y55" s="127" t="n">
        <x:v>90</x:v>
      </x:c>
      <x:c r="Z55" s="127" t="str">
        <x:v>Di chuyển xanh; Nhóm nhỏ</x:v>
      </x:c>
      <x:c r="AA55" s="134" t="b">
        <x:v>1</x:v>
      </x:c>
      <x:c r="AB55" s="127" t="n">
        <x:v>4</x:v>
      </x:c>
      <x:c r="AC55" s="93" t="str">
        <x:v>https://i.pinimg.com/736x/b0/0e/34/b00e344658c05b3980d1b99da0a3418a.jpg</x:v>
      </x:c>
    </x:row>
    <x:row r="56" ht="15" customHeight="1">
      <x:c r="A56" s="16" t="s">
        <x:v>530</x:v>
      </x:c>
      <x:c r="B56" s="16" t="s">
        <x:v>315</x:v>
      </x:c>
      <x:c r="C56" s="16" t="s">
        <x:v>200</x:v>
      </x:c>
      <x:c r="D56" s="16">
        <x:v>1</x:v>
      </x:c>
      <x:c r="E56" s="16" t="s">
        <x:v>343</x:v>
      </x:c>
      <x:c r="F56" s="16" t="s">
        <x:v>531</x:v>
      </x:c>
      <x:c r="G56" s="28">
        <x:v>350000</x:v>
      </x:c>
      <x:c r="H56" s="17">
        <x:v>-1.6</x:v>
      </x:c>
      <x:c r="I56" s="16" t="s">
        <x:v>364</x:v>
      </x:c>
      <x:c r="J56" s="16" t="s">
        <x:v>365</x:v>
      </x:c>
      <x:c r="K56" s="16" t="s">
        <x:v>532</x:v>
      </x:c>
      <x:c r="L56" s="16" t="s">
        <x:v>223</x:v>
      </x:c>
      <x:c r="M56" s="16" t="s">
        <x:v>347</x:v>
      </x:c>
      <x:c r="N56" s="20">
        <x:v>4.57</x:v>
      </x:c>
      <x:c r="O56" s="20">
        <x:v>0.6</x:v>
      </x:c>
      <x:c r="P56" s="20">
        <x:v>0.25</x:v>
      </x:c>
      <x:c r="Q56" s="16" t="s">
        <x:v>225</x:v>
      </x:c>
      <x:c r="R56" s="16" t="s">
        <x:v>226</x:v>
      </x:c>
      <x:c r="S56" s="16" t="s">
        <x:v>227</x:v>
      </x:c>
      <x:c r="T56" s="16" t="s">
        <x:v>348</x:v>
      </x:c>
      <x:c r="U56" s="127" t="str">
        <x:v>14:00</x:v>
      </x:c>
      <x:c r="V56" s="127" t="str">
        <x:v>Lớp làm vườn và nấu ăn làng rau Trà Quế. Hoạt động trải nghiệm nhẹ nhàng, tăng kết nối với cộng đồng và thiên nhiên địa phương.</x:v>
      </x:c>
      <x:c r="W56" s="127" t="str">
        <x:v>/image/tours/hoi-an-lang-rau-tra-que-01.jpg</x:v>
      </x:c>
      <x:c r="X56" s="127" t="str">
        <x:v>Lớp nấu ăn làng rau Trà Quế</x:v>
      </x:c>
      <x:c r="Y56" s="127" t="n">
        <x:v>300</x:v>
      </x:c>
      <x:c r="Z56" s="127" t="str">
        <x:v>Nhịp độ nhẹ nhàng; Hoạt động xanh</x:v>
      </x:c>
      <x:c r="AA56" s="134" t="b">
        <x:v>1</x:v>
      </x:c>
      <x:c r="AB56" s="127" t="n">
        <x:v>1</x:v>
      </x:c>
      <x:c r="AC56" s="93" t="str">
        <x:v>https://i.pinimg.com/736x/67/cd/79/67cd79e84f7cc6c35a6817ebbb753caa.jpg</x:v>
      </x:c>
    </x:row>
    <x:row r="57" ht="15" customHeight="1">
      <x:c r="A57" s="18" t="s">
        <x:v>533</x:v>
      </x:c>
      <x:c r="B57" s="18" t="s">
        <x:v>312</x:v>
      </x:c>
      <x:c r="C57" s="18" t="s">
        <x:v>200</x:v>
      </x:c>
      <x:c r="D57" s="18">
        <x:v>1</x:v>
      </x:c>
      <x:c r="E57" s="18" t="s">
        <x:v>465</x:v>
      </x:c>
      <x:c r="F57" s="18" t="s">
        <x:v>313</x:v>
      </x:c>
      <x:c r="G57" s="29">
        <x:v>180000</x:v>
      </x:c>
      <x:c r="H57" s="19">
        <x:v>-1.4</x:v>
      </x:c>
      <x:c r="I57" s="18" t="s">
        <x:v>382</x:v>
      </x:c>
      <x:c r="J57" s="18" t="s">
        <x:v>221</x:v>
      </x:c>
      <x:c r="K57" s="18" t="s">
        <x:v>534</x:v>
      </x:c>
      <x:c r="L57" s="18" t="s">
        <x:v>223</x:v>
      </x:c>
      <x:c r="M57" s="18" t="s">
        <x:v>347</x:v>
      </x:c>
      <x:c r="N57" s="21">
        <x:v>4</x:v>
      </x:c>
      <x:c r="O57" s="21">
        <x:v>0.6</x:v>
      </x:c>
      <x:c r="P57" s="21">
        <x:v>0.25</x:v>
      </x:c>
      <x:c r="Q57" s="18" t="s">
        <x:v>225</x:v>
      </x:c>
      <x:c r="R57" s="18" t="s">
        <x:v>226</x:v>
      </x:c>
      <x:c r="S57" s="18" t="s">
        <x:v>227</x:v>
      </x:c>
      <x:c r="T57" s="18" t="s">
        <x:v>348</x:v>
      </x:c>
      <x:c r="U57" s="127" t="str">
        <x:v>19:00</x:v>
      </x:c>
      <x:c r="V57" s="127" t="str">
        <x:v>Thuyền thúng rừng dừa Bảy Mẫu. Tham quan có hướng dẫn, ưu tiên ứng xử văn minh và hạn chế tác động đến điểm đến.</x:v>
      </x:c>
      <x:c r="W57" s="127" t="str">
        <x:v>/image/tours/hoi-an-song-hoai-hoa-dang-01.jpg</x:v>
      </x:c>
      <x:c r="X57" s="127" t="str">
        <x:v>Thuyền thúng rừng dừa Bảy Mẫu</x:v>
      </x:c>
      <x:c r="Y57" s="127" t="n">
        <x:v>300</x:v>
      </x:c>
      <x:c r="Z57" s="127" t="str">
        <x:v>Điểm đến xanh; Trải nghiệm địa phương</x:v>
      </x:c>
      <x:c r="AA57" s="134" t="b">
        <x:v>1</x:v>
      </x:c>
      <x:c r="AB57" s="127" t="n">
        <x:v>2</x:v>
      </x:c>
      <x:c r="AC57" s="93" t="str">
        <x:v>https://i.pinimg.com/1200x/20/91/54/209154787a463e0549849949116665c1.jpg</x:v>
      </x:c>
    </x:row>
    <x:row r="58" ht="15" customHeight="1">
      <x:c r="A58" s="16" t="s">
        <x:v>535</x:v>
      </x:c>
      <x:c r="B58" s="16" t="s">
        <x:v>309</x:v>
      </x:c>
      <x:c r="C58" s="16" t="s">
        <x:v>200</x:v>
      </x:c>
      <x:c r="D58" s="16">
        <x:v>1</x:v>
      </x:c>
      <x:c r="E58" s="16" t="s">
        <x:v>458</x:v>
      </x:c>
      <x:c r="F58" s="16" t="s">
        <x:v>536</x:v>
      </x:c>
      <x:c r="G58" s="28">
        <x:v>120000</x:v>
      </x:c>
      <x:c r="H58" s="17">
        <x:v>-1.1000000000000001</x:v>
      </x:c>
      <x:c r="I58" s="16" t="s">
        <x:v>537</x:v>
      </x:c>
      <x:c r="J58" s="16" t="s">
        <x:v>221</x:v>
      </x:c>
      <x:c r="K58" s="16" t="s">
        <x:v>538</x:v>
      </x:c>
      <x:c r="L58" s="16" t="s">
        <x:v>367</x:v>
      </x:c>
      <x:c r="M58" s="16" t="s">
        <x:v>368</x:v>
      </x:c>
      <x:c r="N58" s="20">
        <x:v>6.43</x:v>
      </x:c>
      <x:c r="O58" s="20">
        <x:v>0.17100000000000001</x:v>
      </x:c>
      <x:c r="P58" s="20">
        <x:v>0</x:v>
      </x:c>
      <x:c r="Q58" s="16" t="s">
        <x:v>246</x:v>
      </x:c>
      <x:c r="R58" s="16" t="s">
        <x:v>247</x:v>
      </x:c>
      <x:c r="S58" s="16" t="s">
        <x:v>248</x:v>
      </x:c>
      <x:c r="T58" s="16" t="s">
        <x:v>369</x:v>
      </x:c>
      <x:c r="U58" s="127" t="str">
        <x:v>21:00</x:v>
      </x:c>
      <x:c r="V58" s="127" t="str">
        <x:v>Dạo phố cổ Hội An buổi tối. Tham quan có hướng dẫn, ưu tiên ứng xử văn minh và hạn chế tác động đến điểm đến.</x:v>
      </x:c>
      <x:c r="W58" s="127" t="str">
        <x:v>/image/tours/hoi-an-pho-co-den-long-01.jpg</x:v>
      </x:c>
      <x:c r="X58" s="127" t="str">
        <x:v>Phố cổ Hội An buổi tối</x:v>
      </x:c>
      <x:c r="Y58" s="127" t="n">
        <x:v>120</x:v>
      </x:c>
      <x:c r="Z58" s="127" t="str">
        <x:v>Điểm đến xanh; Trải nghiệm địa phương</x:v>
      </x:c>
      <x:c r="AA58" s="134" t="b">
        <x:v>1</x:v>
      </x:c>
      <x:c r="AB58" s="127" t="n">
        <x:v>3</x:v>
      </x:c>
      <x:c r="AC58" s="93" t="str">
        <x:v>https://i.pinimg.com/736x/72/fb/66/72fb66407e9d4bae2baca3d5d6976a50.jpg</x:v>
      </x:c>
    </x:row>
    <x:row r="59" ht="15" customHeight="1">
      <x:c r="A59" s="18" t="s">
        <x:v>539</x:v>
      </x:c>
      <x:c r="B59" s="18" t="s">
        <x:v>326</x:v>
      </x:c>
      <x:c r="C59" s="18" t="s">
        <x:v>200</x:v>
      </x:c>
      <x:c r="D59" s="18">
        <x:v>1</x:v>
      </x:c>
      <x:c r="E59" s="18" t="s">
        <x:v>540</x:v>
      </x:c>
      <x:c r="F59" s="18" t="s">
        <x:v>541</x:v>
      </x:c>
      <x:c r="G59" s="29">
        <x:v>720000</x:v>
      </x:c>
      <x:c r="H59" s="19">
        <x:v>-2.7</x:v>
      </x:c>
      <x:c r="I59" s="18" t="s">
        <x:v>392</x:v>
      </x:c>
      <x:c r="J59" s="18" t="s">
        <x:v>393</x:v>
      </x:c>
      <x:c r="K59" s="18" t="s">
        <x:v>542</x:v>
      </x:c>
      <x:c r="L59" s="18" t="s">
        <x:v>265</x:v>
      </x:c>
      <x:c r="M59" s="18" t="s">
        <x:v>266</x:v>
      </x:c>
      <x:c r="N59" s="21">
        <x:v>1.8</x:v>
      </x:c>
      <x:c r="O59" s="21">
        <x:v>8</x:v>
      </x:c>
      <x:c r="P59" s="21">
        <x:v>6.5</x:v>
      </x:c>
      <x:c r="Q59" s="18" t="s">
        <x:v>267</x:v>
      </x:c>
      <x:c r="R59" s="18" t="s">
        <x:v>268</x:v>
      </x:c>
      <x:c r="S59" s="18" t="s">
        <x:v>227</x:v>
      </x:c>
      <x:c r="T59" s="18" t="s">
        <x:v>395</x:v>
      </x:c>
      <x:c r="U59" s="127" t="str">
        <x:v>01:00</x:v>
      </x:c>
      <x:c r="V59" s="127" t="str">
        <x:v>Nhận phòng eco homestay gần phố cổ. Lưu trú tại cơ sở địa phương, ưu tiên tiết kiệm năng lượng và giảm rác thải.</x:v>
      </x:c>
      <x:c r="W59" s="127" t="str">
        <x:v>/image/tours/hoi-an-pho-co-den-long-01.jpg</x:v>
      </x:c>
      <x:c r="X59" s="127" t="str">
        <x:v>Eco homestay gần phố cổ Hội An</x:v>
      </x:c>
      <x:c r="Y59" s="127" t="n">
        <x:v>240</x:v>
      </x:c>
      <x:c r="Z59" s="127" t="str">
        <x:v>Lưu trú xanh; Tiết kiệm tài nguyên</x:v>
      </x:c>
      <x:c r="AA59" s="134" t="b">
        <x:v>1</x:v>
      </x:c>
      <x:c r="AB59" s="127" t="n">
        <x:v>4</x:v>
      </x:c>
      <x:c r="AC59" s="93" t="str">
        <x:v>https://i.pinimg.com/1200x/9a/8e/80/9a8e809b96b1bb611aabf4e2a8680670.jpg</x:v>
      </x:c>
    </x:row>
    <x:row r="60" ht="15" customHeight="1">
      <x:c r="A60" s="16" t="s">
        <x:v>543</x:v>
      </x:c>
      <x:c r="B60" s="16"/>
      <x:c r="C60" s="16" t="s">
        <x:v>200</x:v>
      </x:c>
      <x:c r="D60" s="16">
        <x:v>2</x:v>
      </x:c>
      <x:c r="E60" s="16" t="s">
        <x:v>397</x:v>
      </x:c>
      <x:c r="F60" s="16" t="s">
        <x:v>544</x:v>
      </x:c>
      <x:c r="G60" s="28">
        <x:v>120000</x:v>
      </x:c>
      <x:c r="H60" s="17">
        <x:v>-0.6</x:v>
      </x:c>
      <x:c r="I60" s="16" t="s">
        <x:v>444</x:v>
      </x:c>
      <x:c r="J60" s="16" t="s">
        <x:v>231</x:v>
      </x:c>
      <x:c r="K60" s="16" t="s">
        <x:v>542</x:v>
      </x:c>
      <x:c r="L60" s="16" t="s">
        <x:v>354</x:v>
      </x:c>
      <x:c r="M60" s="16" t="s">
        <x:v>355</x:v>
      </x:c>
      <x:c r="N60" s="20">
        <x:v>1.2</x:v>
      </x:c>
      <x:c r="O60" s="20">
        <x:v>1.5</x:v>
      </x:c>
      <x:c r="P60" s="20">
        <x:v>1</x:v>
      </x:c>
      <x:c r="Q60" s="16" t="s">
        <x:v>235</x:v>
      </x:c>
      <x:c r="R60" s="16" t="s">
        <x:v>236</x:v>
      </x:c>
      <x:c r="S60" s="16" t="s">
        <x:v>227</x:v>
      </x:c>
      <x:c r="T60" s="16" t="s">
        <x:v>356</x:v>
      </x:c>
      <x:c r="U60" s="127" t="str">
        <x:v>13:00</x:v>
      </x:c>
      <x:c r="V60" s="127" t="str">
        <x:v>Đi bộ chợ Hội An và thử cà phê địa phương. Trải nghiệm ẩm thực địa phương, khuyến khích giảm nhựa dùng một lần và hạn chế lãng phí.</x:v>
      </x:c>
      <x:c r="W60" s="127" t="str">
        <x:v>/image/tours/hoi-an-pho-co-den-long-01.jpg</x:v>
      </x:c>
      <x:c r="X60" s="127" t="str">
        <x:v>Đà Nẵng - Hội An</x:v>
      </x:c>
      <x:c r="Y60" s="127" t="n">
        <x:v>300</x:v>
      </x:c>
      <x:c r="Z60" s="127" t="str">
        <x:v>Ẩm thực địa phương; Giảm rác</x:v>
      </x:c>
      <x:c r="AA60" s="134" t="b">
        <x:v>1</x:v>
      </x:c>
      <x:c r="AB60" s="127" t="n">
        <x:v>1</x:v>
      </x:c>
      <x:c r="AC60" s="93" t="str">
        <x:v>https://i.pinimg.com/736x/a6/f9/2e/a6f92ed32526a0b16c257a645e4034fc.jpg</x:v>
      </x:c>
    </x:row>
    <x:row r="61" ht="15" customHeight="1">
      <x:c r="A61" s="18" t="s">
        <x:v>545</x:v>
      </x:c>
      <x:c r="B61" s="18" t="s">
        <x:v>321</x:v>
      </x:c>
      <x:c r="C61" s="18" t="s">
        <x:v>200</x:v>
      </x:c>
      <x:c r="D61" s="18">
        <x:v>2</x:v>
      </x:c>
      <x:c r="E61" s="18" t="s">
        <x:v>400</x:v>
      </x:c>
      <x:c r="F61" s="18" t="s">
        <x:v>546</x:v>
      </x:c>
      <x:c r="G61" s="29">
        <x:v>220000</x:v>
      </x:c>
      <x:c r="H61" s="19">
        <x:v>-4.2</x:v>
      </x:c>
      <x:c r="I61" s="18" t="s">
        <x:v>515</x:v>
      </x:c>
      <x:c r="J61" s="18" t="s">
        <x:v>255</x:v>
      </x:c>
      <x:c r="K61" s="18" t="s">
        <x:v>516</x:v>
      </x:c>
      <x:c r="L61" s="18" t="s">
        <x:v>517</x:v>
      </x:c>
      <x:c r="M61" s="18" t="s">
        <x:v>324</x:v>
      </x:c>
      <x:c r="N61" s="21">
        <x:v>33.33</x:v>
      </x:c>
      <x:c r="O61" s="21">
        <x:v>0.17100000000000001</x:v>
      </x:c>
      <x:c r="P61" s="21">
        <x:v>4.4999999999999998E-2</x:v>
      </x:c>
      <x:c r="Q61" s="18" t="s">
        <x:v>246</x:v>
      </x:c>
      <x:c r="R61" s="18" t="s">
        <x:v>325</x:v>
      </x:c>
      <x:c r="S61" s="18" t="s">
        <x:v>248</x:v>
      </x:c>
      <x:c r="T61" s="18" t="s">
        <x:v>341</x:v>
      </x:c>
      <x:c r="U61" s="127" t="str">
        <x:v>14:30</x:v>
      </x:c>
      <x:c r="V61" s="127" t="str">
        <x:v>Xe ghép về Đà Nẵng. Di chuyển theo nhóm nhỏ, ưu tiên phương tiện ít phát thải và nhịp độ phù hợp.</x:v>
      </x:c>
      <x:c r="W61" s="127" t="str">
        <x:v>/image/tours/hoi-an-pho-co-den-long-01.jpg</x:v>
      </x:c>
      <x:c r="X61" s="127" t="str">
        <x:v>Xe điện/xe ghép Đà Nẵng - Hội An</x:v>
      </x:c>
      <x:c r="Y61" s="127" t="n">
        <x:v>90</x:v>
      </x:c>
      <x:c r="Z61" s="127" t="str">
        <x:v>Di chuyển xanh; Nhóm nhỏ</x:v>
      </x:c>
      <x:c r="AA61" s="134" t="b">
        <x:v>1</x:v>
      </x:c>
      <x:c r="AB61" s="127" t="n">
        <x:v>2</x:v>
      </x:c>
      <x:c r="AC61" s="93" t="str">
        <x:v>https://i.pinimg.com/736x/b0/0e/34/b00e344658c05b3980d1b99da0a3418a.jpg</x:v>
      </x:c>
    </x:row>
    <x:row r="62" ht="15" customHeight="1">
      <x:c r="A62" s="16" t="s">
        <x:v>547</x:v>
      </x:c>
      <x:c r="B62" s="16" t="s">
        <x:v>303</x:v>
      </x:c>
      <x:c r="C62" s="16" t="s">
        <x:v>203</x:v>
      </x:c>
      <x:c r="D62" s="16">
        <x:v>1</x:v>
      </x:c>
      <x:c r="E62" s="16" t="s">
        <x:v>343</x:v>
      </x:c>
      <x:c r="F62" s="16" t="s">
        <x:v>304</x:v>
      </x:c>
      <x:c r="G62" s="28">
        <x:v>70000</x:v>
      </x:c>
      <x:c r="H62" s="17">
        <x:v>-0.9</x:v>
      </x:c>
      <x:c r="I62" s="16" t="s">
        <x:v>413</x:v>
      </x:c>
      <x:c r="J62" s="16" t="s">
        <x:v>221</x:v>
      </x:c>
      <x:c r="K62" s="16" t="s">
        <x:v>548</x:v>
      </x:c>
      <x:c r="L62" s="16" t="s">
        <x:v>223</x:v>
      </x:c>
      <x:c r="M62" s="16" t="s">
        <x:v>347</x:v>
      </x:c>
      <x:c r="N62" s="20">
        <x:v>2.57</x:v>
      </x:c>
      <x:c r="O62" s="20">
        <x:v>0.6</x:v>
      </x:c>
      <x:c r="P62" s="20">
        <x:v>0.25</x:v>
      </x:c>
      <x:c r="Q62" s="16" t="s">
        <x:v>225</x:v>
      </x:c>
      <x:c r="R62" s="16" t="s">
        <x:v>226</x:v>
      </x:c>
      <x:c r="S62" s="16" t="s">
        <x:v>227</x:v>
      </x:c>
      <x:c r="T62" s="16" t="s">
        <x:v>348</x:v>
      </x:c>
      <x:c r="U62" s="127" t="str">
        <x:v>13:00</x:v>
      </x:c>
      <x:c r="V62" s="127" t="str">
        <x:v>Khám phá Ngũ Hành Sơn. Tham quan có hướng dẫn, ưu tiên ứng xử văn minh và hạn chế tác động đến điểm đến.</x:v>
      </x:c>
      <x:c r="W62" s="127" t="str">
        <x:v>/image/tours/da-nang-son-tra-rung-xanh-01.jpg</x:v>
      </x:c>
      <x:c r="X62" s="127" t="str">
        <x:v>Khám phá Ngũ Hành Sơn</x:v>
      </x:c>
      <x:c r="Y62" s="127" t="n">
        <x:v>240</x:v>
      </x:c>
      <x:c r="Z62" s="127" t="str">
        <x:v>Điểm đến xanh; Trải nghiệm địa phương</x:v>
      </x:c>
      <x:c r="AA62" s="134" t="b">
        <x:v>1</x:v>
      </x:c>
      <x:c r="AB62" s="127" t="n">
        <x:v>1</x:v>
      </x:c>
      <x:c r="AC62" s="93" t="str">
        <x:v>https://i.pinimg.com/736x/cc/73/e2/cc73e2cbfec31c9331494fe1117b8085.jpg</x:v>
      </x:c>
    </x:row>
    <x:row r="63" ht="15" customHeight="1">
      <x:c r="A63" s="18" t="s">
        <x:v>549</x:v>
      </x:c>
      <x:c r="B63" s="18" t="s">
        <x:v>321</x:v>
      </x:c>
      <x:c r="C63" s="18" t="s">
        <x:v>203</x:v>
      </x:c>
      <x:c r="D63" s="18">
        <x:v>1</x:v>
      </x:c>
      <x:c r="E63" s="18" t="s">
        <x:v>400</x:v>
      </x:c>
      <x:c r="F63" s="18" t="s">
        <x:v>550</x:v>
      </x:c>
      <x:c r="G63" s="29">
        <x:v>220000</x:v>
      </x:c>
      <x:c r="H63" s="19">
        <x:v>-4.2</x:v>
      </x:c>
      <x:c r="I63" s="18" t="s">
        <x:v>515</x:v>
      </x:c>
      <x:c r="J63" s="18" t="s">
        <x:v>255</x:v>
      </x:c>
      <x:c r="K63" s="18" t="s">
        <x:v>538</x:v>
      </x:c>
      <x:c r="L63" s="18" t="s">
        <x:v>517</x:v>
      </x:c>
      <x:c r="M63" s="18" t="s">
        <x:v>324</x:v>
      </x:c>
      <x:c r="N63" s="21">
        <x:v>33.33</x:v>
      </x:c>
      <x:c r="O63" s="21">
        <x:v>0.17100000000000001</x:v>
      </x:c>
      <x:c r="P63" s="21">
        <x:v>4.4999999999999998E-2</x:v>
      </x:c>
      <x:c r="Q63" s="18" t="s">
        <x:v>246</x:v>
      </x:c>
      <x:c r="R63" s="18" t="s">
        <x:v>325</x:v>
      </x:c>
      <x:c r="S63" s="18" t="s">
        <x:v>248</x:v>
      </x:c>
      <x:c r="T63" s="18" t="s">
        <x:v>341</x:v>
      </x:c>
      <x:c r="U63" s="127" t="str">
        <x:v>19:00</x:v>
      </x:c>
      <x:c r="V63" s="127" t="str">
        <x:v>Xe ghép đi Hội An. Di chuyển theo nhóm nhỏ, ưu tiên phương tiện ít phát thải và nhịp độ phù hợp.</x:v>
      </x:c>
      <x:c r="W63" s="127" t="str">
        <x:v>/image/tours/hoi-an-pho-co-den-long-01.jpg</x:v>
      </x:c>
      <x:c r="X63" s="127" t="str">
        <x:v>Xe điện/xe ghép Đà Nẵng - Hội An</x:v>
      </x:c>
      <x:c r="Y63" s="127" t="n">
        <x:v>360</x:v>
      </x:c>
      <x:c r="Z63" s="127" t="str">
        <x:v>Di chuyển xanh; Nhóm nhỏ</x:v>
      </x:c>
      <x:c r="AA63" s="134" t="b">
        <x:v>1</x:v>
      </x:c>
      <x:c r="AB63" s="127" t="n">
        <x:v>2</x:v>
      </x:c>
      <x:c r="AC63" s="93" t="str">
        <x:v>https://i.pinimg.com/736x/b0/0e/34/b00e344658c05b3980d1b99da0a3418a.jpg</x:v>
      </x:c>
    </x:row>
    <x:row r="64" ht="15" customHeight="1">
      <x:c r="A64" s="16" t="s">
        <x:v>551</x:v>
      </x:c>
      <x:c r="B64" s="16" t="s">
        <x:v>309</x:v>
      </x:c>
      <x:c r="C64" s="16" t="s">
        <x:v>203</x:v>
      </x:c>
      <x:c r="D64" s="16">
        <x:v>1</x:v>
      </x:c>
      <x:c r="E64" s="16" t="s">
        <x:v>458</x:v>
      </x:c>
      <x:c r="F64" s="16" t="s">
        <x:v>552</x:v>
      </x:c>
      <x:c r="G64" s="28">
        <x:v>120000</x:v>
      </x:c>
      <x:c r="H64" s="17">
        <x:v>-1.1000000000000001</x:v>
      </x:c>
      <x:c r="I64" s="16" t="s">
        <x:v>537</x:v>
      </x:c>
      <x:c r="J64" s="16" t="s">
        <x:v>221</x:v>
      </x:c>
      <x:c r="K64" s="16" t="s">
        <x:v>538</x:v>
      </x:c>
      <x:c r="L64" s="16" t="s">
        <x:v>367</x:v>
      </x:c>
      <x:c r="M64" s="16" t="s">
        <x:v>368</x:v>
      </x:c>
      <x:c r="N64" s="20">
        <x:v>6.43</x:v>
      </x:c>
      <x:c r="O64" s="20">
        <x:v>0.17100000000000001</x:v>
      </x:c>
      <x:c r="P64" s="20">
        <x:v>0</x:v>
      </x:c>
      <x:c r="Q64" s="16" t="s">
        <x:v>246</x:v>
      </x:c>
      <x:c r="R64" s="16" t="s">
        <x:v>247</x:v>
      </x:c>
      <x:c r="S64" s="16" t="s">
        <x:v>248</x:v>
      </x:c>
      <x:c r="T64" s="16" t="s">
        <x:v>369</x:v>
      </x:c>
      <x:c r="U64" s="127" t="str">
        <x:v>21:00</x:v>
      </x:c>
      <x:c r="V64" s="127" t="str">
        <x:v>Dạo phố cổ Hội An. Tham quan có hướng dẫn, ưu tiên ứng xử văn minh và hạn chế tác động đến điểm đến.</x:v>
      </x:c>
      <x:c r="W64" s="127" t="str">
        <x:v>/image/tours/hoi-an-pho-co-den-long-01.jpg</x:v>
      </x:c>
      <x:c r="X64" s="127" t="str">
        <x:v>Phố cổ Hội An buổi tối</x:v>
      </x:c>
      <x:c r="Y64" s="127" t="n">
        <x:v>120</x:v>
      </x:c>
      <x:c r="Z64" s="127" t="str">
        <x:v>Điểm đến xanh; Trải nghiệm địa phương</x:v>
      </x:c>
      <x:c r="AA64" s="134" t="b">
        <x:v>1</x:v>
      </x:c>
      <x:c r="AB64" s="127" t="n">
        <x:v>3</x:v>
      </x:c>
      <x:c r="AC64" s="93" t="str">
        <x:v>https://i.pinimg.com/736x/72/fb/66/72fb66407e9d4bae2baca3d5d6976a50.jpg</x:v>
      </x:c>
    </x:row>
    <x:row r="65" ht="15" customHeight="1">
      <x:c r="A65" s="18" t="s">
        <x:v>553</x:v>
      </x:c>
      <x:c r="B65" s="18" t="s">
        <x:v>326</x:v>
      </x:c>
      <x:c r="C65" s="18" t="s">
        <x:v>203</x:v>
      </x:c>
      <x:c r="D65" s="18">
        <x:v>1</x:v>
      </x:c>
      <x:c r="E65" s="18" t="s">
        <x:v>540</x:v>
      </x:c>
      <x:c r="F65" s="18" t="s">
        <x:v>554</x:v>
      </x:c>
      <x:c r="G65" s="29">
        <x:v>720000</x:v>
      </x:c>
      <x:c r="H65" s="19">
        <x:v>-2.7</x:v>
      </x:c>
      <x:c r="I65" s="18" t="s">
        <x:v>392</x:v>
      </x:c>
      <x:c r="J65" s="18" t="s">
        <x:v>393</x:v>
      </x:c>
      <x:c r="K65" s="18" t="s">
        <x:v>542</x:v>
      </x:c>
      <x:c r="L65" s="18" t="s">
        <x:v>265</x:v>
      </x:c>
      <x:c r="M65" s="18" t="s">
        <x:v>266</x:v>
      </x:c>
      <x:c r="N65" s="21">
        <x:v>1.8</x:v>
      </x:c>
      <x:c r="O65" s="21">
        <x:v>8</x:v>
      </x:c>
      <x:c r="P65" s="21">
        <x:v>6.5</x:v>
      </x:c>
      <x:c r="Q65" s="18" t="s">
        <x:v>267</x:v>
      </x:c>
      <x:c r="R65" s="18" t="s">
        <x:v>268</x:v>
      </x:c>
      <x:c r="S65" s="18" t="s">
        <x:v>227</x:v>
      </x:c>
      <x:c r="T65" s="18" t="s">
        <x:v>395</x:v>
      </x:c>
      <x:c r="U65" s="127" t="str">
        <x:v>01:00</x:v>
      </x:c>
      <x:c r="V65" s="127" t="str">
        <x:v>Nghỉ eco homestay Hội An. Lưu trú tại cơ sở địa phương, ưu tiên tiết kiệm năng lượng và giảm rác thải.</x:v>
      </x:c>
      <x:c r="W65" s="127" t="str">
        <x:v>/image/tours/hoi-an-pho-co-den-long-01.jpg</x:v>
      </x:c>
      <x:c r="X65" s="127" t="str">
        <x:v>Eco homestay gần phố cổ Hội An</x:v>
      </x:c>
      <x:c r="Y65" s="127" t="n">
        <x:v>240</x:v>
      </x:c>
      <x:c r="Z65" s="127" t="str">
        <x:v>Lưu trú xanh; Tiết kiệm tài nguyên</x:v>
      </x:c>
      <x:c r="AA65" s="134" t="b">
        <x:v>1</x:v>
      </x:c>
      <x:c r="AB65" s="127" t="n">
        <x:v>4</x:v>
      </x:c>
      <x:c r="AC65" s="93" t="str">
        <x:v>https://i.pinimg.com/1200x/9a/8e/80/9a8e809b96b1bb611aabf4e2a8680670.jpg</x:v>
      </x:c>
    </x:row>
    <x:row r="66" ht="15" customHeight="1">
      <x:c r="A66" s="16" t="s">
        <x:v>555</x:v>
      </x:c>
      <x:c r="B66" s="16" t="s">
        <x:v>318</x:v>
      </x:c>
      <x:c r="C66" s="16" t="s">
        <x:v>203</x:v>
      </x:c>
      <x:c r="D66" s="16">
        <x:v>2</x:v>
      </x:c>
      <x:c r="E66" s="16" t="s">
        <x:v>337</x:v>
      </x:c>
      <x:c r="F66" s="16" t="s">
        <x:v>556</x:v>
      </x:c>
      <x:c r="G66" s="28">
        <x:v>650000</x:v>
      </x:c>
      <x:c r="H66" s="17">
        <x:v>-2.2000000000000002</x:v>
      </x:c>
      <x:c r="I66" s="16" t="s">
        <x:v>557</x:v>
      </x:c>
      <x:c r="J66" s="16" t="s">
        <x:v>365</x:v>
      </x:c>
      <x:c r="K66" s="16" t="s">
        <x:v>558</x:v>
      </x:c>
      <x:c r="L66" s="16" t="s">
        <x:v>223</x:v>
      </x:c>
      <x:c r="M66" s="16" t="s">
        <x:v>347</x:v>
      </x:c>
      <x:c r="N66" s="20">
        <x:v>6.29</x:v>
      </x:c>
      <x:c r="O66" s="20">
        <x:v>0.6</x:v>
      </x:c>
      <x:c r="P66" s="20">
        <x:v>0.25</x:v>
      </x:c>
      <x:c r="Q66" s="16" t="s">
        <x:v>225</x:v>
      </x:c>
      <x:c r="R66" s="16" t="s">
        <x:v>226</x:v>
      </x:c>
      <x:c r="S66" s="16" t="s">
        <x:v>227</x:v>
      </x:c>
      <x:c r="T66" s="16" t="s">
        <x:v>348</x:v>
      </x:c>
      <x:c r="U66" s="127" t="str">
        <x:v>13:30</x:v>
      </x:c>
      <x:c r="V66" s="127" t="str">
        <x:v>Cù Lao Chàm snorkeling ít rác, không chạm san hô. Hoạt động trải nghiệm nhẹ nhàng, tăng kết nối với cộng đồng và thiên nhiên địa phương.</x:v>
      </x:c>
      <x:c r="W66" s="127" t="str">
        <x:v>/image/tours/da-nang-bien-my-khe-01.jpg</x:v>
      </x:c>
      <x:c r="X66" s="127" t="str">
        <x:v>Cù Lao Chàm snorkeling ít rác</x:v>
      </x:c>
      <x:c r="Y66" s="127" t="n">
        <x:v>360</x:v>
      </x:c>
      <x:c r="Z66" s="127" t="str">
        <x:v>Nhịp độ nhẹ nhàng; Hoạt động xanh</x:v>
      </x:c>
      <x:c r="AA66" s="134" t="b">
        <x:v>1</x:v>
      </x:c>
      <x:c r="AB66" s="127" t="n">
        <x:v>1</x:v>
      </x:c>
      <x:c r="AC66" s="93" t="str">
        <x:v>https://i.pinimg.com/736x/10/45/22/104522e091e22eadc9e27768c42bd6f2.jpg</x:v>
      </x:c>
    </x:row>
    <x:row r="67" ht="15" customHeight="1">
      <x:c r="A67" s="18" t="s">
        <x:v>559</x:v>
      </x:c>
      <x:c r="B67" s="18"/>
      <x:c r="C67" s="18" t="s">
        <x:v>203</x:v>
      </x:c>
      <x:c r="D67" s="18">
        <x:v>2</x:v>
      </x:c>
      <x:c r="E67" s="18" t="s">
        <x:v>420</x:v>
      </x:c>
      <x:c r="F67" s="18" t="s">
        <x:v>560</x:v>
      </x:c>
      <x:c r="G67" s="29">
        <x:v>260000</x:v>
      </x:c>
      <x:c r="H67" s="19">
        <x:v>-0.8</x:v>
      </x:c>
      <x:c r="I67" s="18" t="s">
        <x:v>352</x:v>
      </x:c>
      <x:c r="J67" s="18" t="s">
        <x:v>231</x:v>
      </x:c>
      <x:c r="K67" s="18" t="s">
        <x:v>538</x:v>
      </x:c>
      <x:c r="L67" s="18" t="s">
        <x:v>354</x:v>
      </x:c>
      <x:c r="M67" s="18" t="s">
        <x:v>355</x:v>
      </x:c>
      <x:c r="N67" s="21">
        <x:v>1.6</x:v>
      </x:c>
      <x:c r="O67" s="21">
        <x:v>1.5</x:v>
      </x:c>
      <x:c r="P67" s="21">
        <x:v>1</x:v>
      </x:c>
      <x:c r="Q67" s="18" t="s">
        <x:v>235</x:v>
      </x:c>
      <x:c r="R67" s="18" t="s">
        <x:v>236</x:v>
      </x:c>
      <x:c r="S67" s="18" t="s">
        <x:v>227</x:v>
      </x:c>
      <x:c r="T67" s="18" t="s">
        <x:v>356</x:v>
      </x:c>
      <x:c r="U67" s="127" t="str">
        <x:v>19:00</x:v>
      </x:c>
      <x:c r="V67" s="127" t="str">
        <x:v>Ăn tối hải sản địa phương. Trải nghiệm ẩm thực địa phương, khuyến khích giảm nhựa dùng một lần và hạn chế lãng phí.</x:v>
      </x:c>
      <x:c r="W67" s="127" t="str">
        <x:v>/image/tours/hoi-an-ca-phe-dia-phuong-01.jpg</x:v>
      </x:c>
      <x:c r="X67" s="127" t="str">
        <x:v>Đà Nẵng - Hội An</x:v>
      </x:c>
      <x:c r="Y67" s="127" t="n">
        <x:v>90</x:v>
      </x:c>
      <x:c r="Z67" s="127" t="str">
        <x:v>Ẩm thực địa phương; Giảm rác</x:v>
      </x:c>
      <x:c r="AA67" s="134" t="b">
        <x:v>1</x:v>
      </x:c>
      <x:c r="AB67" s="127" t="n">
        <x:v>2</x:v>
      </x:c>
      <x:c r="AC67" s="93" t="str">
        <x:v>https://i.pinimg.com/1200x/51/8a/24/518a24abfd5bf366aaea50f79fc67644.jpg</x:v>
      </x:c>
    </x:row>
    <x:row r="68" ht="15" customHeight="1">
      <x:c r="A68" s="16" t="s">
        <x:v>561</x:v>
      </x:c>
      <x:c r="B68" s="16" t="s">
        <x:v>315</x:v>
      </x:c>
      <x:c r="C68" s="16" t="s">
        <x:v>203</x:v>
      </x:c>
      <x:c r="D68" s="16">
        <x:v>3</x:v>
      </x:c>
      <x:c r="E68" s="16" t="s">
        <x:v>429</x:v>
      </x:c>
      <x:c r="F68" s="16" t="s">
        <x:v>562</x:v>
      </x:c>
      <x:c r="G68" s="28">
        <x:v>350000</x:v>
      </x:c>
      <x:c r="H68" s="17">
        <x:v>-1.6</x:v>
      </x:c>
      <x:c r="I68" s="16" t="s">
        <x:v>364</x:v>
      </x:c>
      <x:c r="J68" s="16" t="s">
        <x:v>231</x:v>
      </x:c>
      <x:c r="K68" s="16" t="s">
        <x:v>532</x:v>
      </x:c>
      <x:c r="L68" s="16" t="s">
        <x:v>354</x:v>
      </x:c>
      <x:c r="M68" s="16" t="s">
        <x:v>355</x:v>
      </x:c>
      <x:c r="N68" s="20">
        <x:v>3.2</x:v>
      </x:c>
      <x:c r="O68" s="20">
        <x:v>1.5</x:v>
      </x:c>
      <x:c r="P68" s="20">
        <x:v>1</x:v>
      </x:c>
      <x:c r="Q68" s="16" t="s">
        <x:v>235</x:v>
      </x:c>
      <x:c r="R68" s="16" t="s">
        <x:v>236</x:v>
      </x:c>
      <x:c r="S68" s="16" t="s">
        <x:v>227</x:v>
      </x:c>
      <x:c r="T68" s="16" t="s">
        <x:v>356</x:v>
      </x:c>
      <x:c r="U68" s="127" t="str">
        <x:v>10:00</x:v>
      </x:c>
      <x:c r="V68" s="127" t="str">
        <x:v>Lớp nấu ăn Trà Quế và tổng kết hành trình xanh. Trải nghiệm ẩm thực địa phương, khuyến khích giảm nhựa dùng một lần và hạn chế lãng phí.</x:v>
      </x:c>
      <x:c r="W68" s="127" t="str">
        <x:v>/image/tours/hoi-an-lang-rau-tra-que-01.jpg</x:v>
      </x:c>
      <x:c r="X68" s="127" t="str">
        <x:v>Lớp nấu ăn làng rau Trà Quế</x:v>
      </x:c>
      <x:c r="Y68" s="127" t="n">
        <x:v>90</x:v>
      </x:c>
      <x:c r="Z68" s="127" t="str">
        <x:v>Ẩm thực địa phương; Giảm rác</x:v>
      </x:c>
      <x:c r="AA68" s="134" t="b">
        <x:v>1</x:v>
      </x:c>
      <x:c r="AB68" s="127" t="n">
        <x:v>1</x:v>
      </x:c>
      <x:c r="AC68" s="93" t="str">
        <x:v>https://i.pinimg.com/736x/67/cd/79/67cd79e84f7cc6c35a6817ebbb753caa.jpg</x:v>
      </x:c>
    </x:row>
    <x:row r="69">
      <x:c r="A69" s="1"/>
      <x:c r="B69" s="1"/>
      <x:c r="C69" s="1"/>
      <x:c r="D69" s="1"/>
      <x:c r="E69" s="1"/>
      <x:c r="F69" s="1"/>
      <x:c r="G69" s="1"/>
      <x:c r="H69" s="1"/>
      <x:c r="I69" s="1"/>
      <x:c r="J69" s="1"/>
      <x:c r="K69" s="1"/>
      <x:c r="L69" s="1"/>
      <x:c r="M69" s="1"/>
      <x:c r="N69" s="1"/>
      <x:c r="O69" s="1"/>
      <x:c r="P69" s="1"/>
      <x:c r="Q69" s="1"/>
      <x:c r="R69" s="1"/>
      <x:c r="S69" s="1"/>
      <x:c r="T69" s="1"/>
      <x:c r="U69" s="1"/>
    </x:row>
    <x:row r="70">
      <x:c r="A70" s="1"/>
      <x:c r="B70" s="1"/>
      <x:c r="C70" s="1"/>
      <x:c r="D70" s="1"/>
      <x:c r="E70" s="1"/>
      <x:c r="F70" s="1"/>
      <x:c r="G70" s="1"/>
      <x:c r="H70" s="1"/>
      <x:c r="I70" s="1"/>
      <x:c r="J70" s="1"/>
      <x:c r="K70" s="1"/>
      <x:c r="L70" s="1"/>
      <x:c r="M70" s="1"/>
      <x:c r="N70" s="1"/>
      <x:c r="O70" s="1"/>
      <x:c r="P70" s="1"/>
      <x:c r="Q70" s="1"/>
      <x:c r="R70" s="1"/>
      <x:c r="S70" s="1"/>
      <x:c r="T70" s="1"/>
      <x:c r="U70" s="1"/>
    </x:row>
    <x:row r="71">
      <x:c r="A71" s="1"/>
      <x:c r="B71" s="1"/>
      <x:c r="C71" s="1"/>
      <x:c r="D71" s="1"/>
      <x:c r="E71" s="1"/>
      <x:c r="F71" s="1"/>
      <x:c r="G71" s="1"/>
      <x:c r="H71" s="1"/>
      <x:c r="I71" s="1"/>
      <x:c r="J71" s="1"/>
      <x:c r="K71" s="1"/>
      <x:c r="L71" s="1"/>
      <x:c r="M71" s="1"/>
      <x:c r="N71" s="1"/>
      <x:c r="O71" s="1"/>
      <x:c r="P71" s="1"/>
      <x:c r="Q71" s="1"/>
      <x:c r="R71" s="1"/>
      <x:c r="S71" s="1"/>
      <x:c r="T71" s="1"/>
      <x:c r="U71" s="1"/>
    </x:row>
    <x:row r="72">
      <x:c r="A72" s="1"/>
      <x:c r="B72" s="1"/>
      <x:c r="C72" s="1"/>
      <x:c r="D72" s="1"/>
      <x:c r="E72" s="1"/>
      <x:c r="F72" s="1"/>
      <x:c r="G72" s="1"/>
      <x:c r="H72" s="1"/>
      <x:c r="I72" s="1"/>
      <x:c r="J72" s="1"/>
      <x:c r="K72" s="1"/>
      <x:c r="L72" s="1"/>
      <x:c r="M72" s="1"/>
      <x:c r="N72" s="1"/>
      <x:c r="O72" s="1"/>
      <x:c r="P72" s="1"/>
      <x:c r="Q72" s="1"/>
      <x:c r="R72" s="1"/>
      <x:c r="S72" s="1"/>
      <x:c r="T72" s="1"/>
      <x:c r="U72" s="1"/>
    </x:row>
    <x:row r="73">
      <x:c r="A73" s="1"/>
      <x:c r="B73" s="1"/>
      <x:c r="C73" s="1"/>
      <x:c r="D73" s="1"/>
      <x:c r="E73" s="1"/>
      <x:c r="F73" s="1"/>
      <x:c r="G73" s="1"/>
      <x:c r="H73" s="1"/>
      <x:c r="I73" s="1"/>
      <x:c r="J73" s="1"/>
      <x:c r="K73" s="1"/>
      <x:c r="L73" s="1"/>
      <x:c r="M73" s="1"/>
      <x:c r="N73" s="1"/>
      <x:c r="O73" s="1"/>
      <x:c r="P73" s="1"/>
      <x:c r="Q73" s="1"/>
      <x:c r="R73" s="1"/>
      <x:c r="S73" s="1"/>
      <x:c r="T73" s="1"/>
      <x:c r="U73" s="1"/>
    </x:row>
    <x:row r="74">
      <x:c r="A74" s="1"/>
      <x:c r="B74" s="1"/>
      <x:c r="C74" s="1"/>
      <x:c r="D74" s="1"/>
      <x:c r="E74" s="1"/>
      <x:c r="F74" s="1"/>
      <x:c r="G74" s="1"/>
      <x:c r="H74" s="1"/>
      <x:c r="I74" s="1"/>
      <x:c r="J74" s="1"/>
      <x:c r="K74" s="1"/>
      <x:c r="L74" s="1"/>
      <x:c r="M74" s="1"/>
      <x:c r="N74" s="1"/>
      <x:c r="O74" s="1"/>
      <x:c r="P74" s="1"/>
      <x:c r="Q74" s="1"/>
      <x:c r="R74" s="1"/>
      <x:c r="S74" s="1"/>
      <x:c r="T74" s="1"/>
      <x:c r="U74" s="1"/>
    </x:row>
    <x:row r="75">
      <x:c r="A75" s="1"/>
      <x:c r="B75" s="1"/>
      <x:c r="C75" s="1"/>
      <x:c r="D75" s="1"/>
      <x:c r="E75" s="1"/>
      <x:c r="F75" s="1"/>
      <x:c r="G75" s="1"/>
      <x:c r="H75" s="1"/>
      <x:c r="I75" s="1"/>
      <x:c r="J75" s="1"/>
      <x:c r="K75" s="1"/>
      <x:c r="L75" s="1"/>
      <x:c r="M75" s="1"/>
      <x:c r="N75" s="1"/>
      <x:c r="O75" s="1"/>
      <x:c r="P75" s="1"/>
      <x:c r="Q75" s="1"/>
      <x:c r="R75" s="1"/>
      <x:c r="S75" s="1"/>
      <x:c r="T75" s="1"/>
      <x:c r="U75" s="1"/>
    </x:row>
    <x:row r="76">
      <x:c r="A76" s="1"/>
      <x:c r="B76" s="1"/>
      <x:c r="C76" s="1"/>
      <x:c r="D76" s="1"/>
      <x:c r="E76" s="1"/>
      <x:c r="F76" s="1"/>
      <x:c r="G76" s="1"/>
      <x:c r="H76" s="1"/>
      <x:c r="I76" s="1"/>
      <x:c r="J76" s="1"/>
      <x:c r="K76" s="1"/>
      <x:c r="L76" s="1"/>
      <x:c r="M76" s="1"/>
      <x:c r="N76" s="1"/>
      <x:c r="O76" s="1"/>
      <x:c r="P76" s="1"/>
      <x:c r="Q76" s="1"/>
      <x:c r="R76" s="1"/>
      <x:c r="S76" s="1"/>
      <x:c r="T76" s="1"/>
      <x:c r="U76" s="1"/>
    </x:row>
    <x:row r="77">
      <x:c r="A77" s="1"/>
      <x:c r="B77" s="1"/>
      <x:c r="C77" s="1"/>
      <x:c r="D77" s="1"/>
      <x:c r="E77" s="1"/>
      <x:c r="F77" s="1"/>
      <x:c r="G77" s="1"/>
      <x:c r="H77" s="1"/>
      <x:c r="I77" s="1"/>
      <x:c r="J77" s="1"/>
      <x:c r="K77" s="1"/>
      <x:c r="L77" s="1"/>
      <x:c r="M77" s="1"/>
      <x:c r="N77" s="1"/>
      <x:c r="O77" s="1"/>
      <x:c r="P77" s="1"/>
      <x:c r="Q77" s="1"/>
      <x:c r="R77" s="1"/>
      <x:c r="S77" s="1"/>
      <x:c r="T77" s="1"/>
      <x:c r="U77" s="1"/>
    </x:row>
    <x:row r="78">
      <x:c r="A78" s="1"/>
      <x:c r="B78" s="1"/>
      <x:c r="C78" s="1"/>
      <x:c r="D78" s="1"/>
      <x:c r="E78" s="1"/>
      <x:c r="F78" s="1"/>
      <x:c r="G78" s="1"/>
      <x:c r="H78" s="1"/>
      <x:c r="I78" s="1"/>
      <x:c r="J78" s="1"/>
      <x:c r="K78" s="1"/>
      <x:c r="L78" s="1"/>
      <x:c r="M78" s="1"/>
      <x:c r="N78" s="1"/>
      <x:c r="O78" s="1"/>
      <x:c r="P78" s="1"/>
      <x:c r="Q78" s="1"/>
      <x:c r="R78" s="1"/>
      <x:c r="S78" s="1"/>
      <x:c r="T78" s="1"/>
      <x:c r="U78" s="1"/>
    </x:row>
    <x:row r="79">
      <x:c r="A79" s="1"/>
      <x:c r="B79" s="1"/>
      <x:c r="C79" s="1"/>
      <x:c r="D79" s="1"/>
      <x:c r="E79" s="1"/>
      <x:c r="F79" s="1"/>
      <x:c r="G79" s="1"/>
      <x:c r="H79" s="1"/>
      <x:c r="I79" s="1"/>
      <x:c r="J79" s="1"/>
      <x:c r="K79" s="1"/>
      <x:c r="L79" s="1"/>
      <x:c r="M79" s="1"/>
      <x:c r="N79" s="1"/>
      <x:c r="O79" s="1"/>
      <x:c r="P79" s="1"/>
      <x:c r="Q79" s="1"/>
      <x:c r="R79" s="1"/>
      <x:c r="S79" s="1"/>
      <x:c r="T79" s="1"/>
      <x:c r="U79" s="1"/>
    </x:row>
    <x:row r="80">
      <x:c r="A80" s="1"/>
      <x:c r="B80" s="1"/>
      <x:c r="C80" s="1"/>
      <x:c r="D80" s="1"/>
      <x:c r="E80" s="1"/>
      <x:c r="F80" s="1"/>
      <x:c r="G80" s="1"/>
      <x:c r="H80" s="1"/>
      <x:c r="I80" s="1"/>
      <x:c r="J80" s="1"/>
      <x:c r="K80" s="1"/>
      <x:c r="L80" s="1"/>
      <x:c r="M80" s="1"/>
      <x:c r="N80" s="1"/>
      <x:c r="O80" s="1"/>
      <x:c r="P80" s="1"/>
      <x:c r="Q80" s="1"/>
      <x:c r="R80" s="1"/>
      <x:c r="S80" s="1"/>
      <x:c r="T80" s="1"/>
      <x:c r="U80" s="1"/>
    </x:row>
    <x:row r="81">
      <x:c r="A81" s="1"/>
      <x:c r="B81" s="1"/>
      <x:c r="C81" s="1"/>
      <x:c r="D81" s="1"/>
      <x:c r="E81" s="1"/>
      <x:c r="F81" s="1"/>
      <x:c r="G81" s="1"/>
      <x:c r="H81" s="1"/>
      <x:c r="I81" s="1"/>
      <x:c r="J81" s="1"/>
      <x:c r="K81" s="1"/>
      <x:c r="L81" s="1"/>
      <x:c r="M81" s="1"/>
      <x:c r="N81" s="1"/>
      <x:c r="O81" s="1"/>
      <x:c r="P81" s="1"/>
      <x:c r="Q81" s="1"/>
      <x:c r="R81" s="1"/>
      <x:c r="S81" s="1"/>
      <x:c r="T81" s="1"/>
      <x:c r="U81" s="1"/>
    </x:row>
    <x:row r="82">
      <x:c r="A82" s="1"/>
      <x:c r="B82" s="1"/>
      <x:c r="C82" s="1"/>
      <x:c r="D82" s="1"/>
      <x:c r="E82" s="1"/>
      <x:c r="F82" s="1"/>
      <x:c r="G82" s="1"/>
      <x:c r="H82" s="1"/>
      <x:c r="I82" s="1"/>
      <x:c r="J82" s="1"/>
      <x:c r="K82" s="1"/>
      <x:c r="L82" s="1"/>
      <x:c r="M82" s="1"/>
      <x:c r="N82" s="1"/>
      <x:c r="O82" s="1"/>
      <x:c r="P82" s="1"/>
      <x:c r="Q82" s="1"/>
      <x:c r="R82" s="1"/>
      <x:c r="S82" s="1"/>
      <x:c r="T82" s="1"/>
      <x:c r="U82" s="1"/>
    </x:row>
    <x:row r="83">
      <x:c r="A83" s="1"/>
      <x:c r="B83" s="1"/>
      <x:c r="C83" s="1"/>
      <x:c r="D83" s="1"/>
      <x:c r="E83" s="1"/>
      <x:c r="F83" s="1"/>
      <x:c r="G83" s="1"/>
      <x:c r="H83" s="1"/>
      <x:c r="I83" s="1"/>
      <x:c r="J83" s="1"/>
      <x:c r="K83" s="1"/>
      <x:c r="L83" s="1"/>
      <x:c r="M83" s="1"/>
      <x:c r="N83" s="1"/>
      <x:c r="O83" s="1"/>
      <x:c r="P83" s="1"/>
      <x:c r="Q83" s="1"/>
      <x:c r="R83" s="1"/>
      <x:c r="S83" s="1"/>
      <x:c r="T83" s="1"/>
      <x:c r="U83" s="1"/>
    </x:row>
    <x:row r="84">
      <x:c r="A84" s="1"/>
      <x:c r="B84" s="1"/>
      <x:c r="C84" s="1"/>
      <x:c r="D84" s="1"/>
      <x:c r="E84" s="1"/>
      <x:c r="F84" s="1"/>
      <x:c r="G84" s="1"/>
      <x:c r="H84" s="1"/>
      <x:c r="I84" s="1"/>
      <x:c r="J84" s="1"/>
      <x:c r="K84" s="1"/>
      <x:c r="L84" s="1"/>
      <x:c r="M84" s="1"/>
      <x:c r="N84" s="1"/>
      <x:c r="O84" s="1"/>
      <x:c r="P84" s="1"/>
      <x:c r="Q84" s="1"/>
      <x:c r="R84" s="1"/>
      <x:c r="S84" s="1"/>
      <x:c r="T84" s="1"/>
      <x:c r="U84" s="1"/>
    </x:row>
    <x:row r="85">
      <x:c r="A85" s="1"/>
      <x:c r="B85" s="1"/>
      <x:c r="C85" s="1"/>
      <x:c r="D85" s="1"/>
      <x:c r="E85" s="1"/>
      <x:c r="F85" s="1"/>
      <x:c r="G85" s="1"/>
      <x:c r="H85" s="1"/>
      <x:c r="I85" s="1"/>
      <x:c r="J85" s="1"/>
      <x:c r="K85" s="1"/>
      <x:c r="L85" s="1"/>
      <x:c r="M85" s="1"/>
      <x:c r="N85" s="1"/>
      <x:c r="O85" s="1"/>
      <x:c r="P85" s="1"/>
      <x:c r="Q85" s="1"/>
      <x:c r="R85" s="1"/>
      <x:c r="S85" s="1"/>
      <x:c r="T85" s="1"/>
      <x:c r="U85" s="1"/>
    </x:row>
    <x:row r="86">
      <x:c r="A86" s="1"/>
      <x:c r="B86" s="1"/>
      <x:c r="C86" s="1"/>
      <x:c r="D86" s="1"/>
      <x:c r="E86" s="1"/>
      <x:c r="F86" s="1"/>
      <x:c r="G86" s="1"/>
      <x:c r="H86" s="1"/>
      <x:c r="I86" s="1"/>
      <x:c r="J86" s="1"/>
      <x:c r="K86" s="1"/>
      <x:c r="L86" s="1"/>
      <x:c r="M86" s="1"/>
      <x:c r="N86" s="1"/>
      <x:c r="O86" s="1"/>
      <x:c r="P86" s="1"/>
      <x:c r="Q86" s="1"/>
      <x:c r="R86" s="1"/>
      <x:c r="S86" s="1"/>
      <x:c r="T86" s="1"/>
      <x:c r="U86" s="1"/>
    </x:row>
    <x:row r="87">
      <x:c r="A87" s="1"/>
      <x:c r="B87" s="1"/>
      <x:c r="C87" s="1"/>
      <x:c r="D87" s="1"/>
      <x:c r="E87" s="1"/>
      <x:c r="F87" s="1"/>
      <x:c r="G87" s="1"/>
      <x:c r="H87" s="1"/>
      <x:c r="I87" s="1"/>
      <x:c r="J87" s="1"/>
      <x:c r="K87" s="1"/>
      <x:c r="L87" s="1"/>
      <x:c r="M87" s="1"/>
      <x:c r="N87" s="1"/>
      <x:c r="O87" s="1"/>
      <x:c r="P87" s="1"/>
      <x:c r="Q87" s="1"/>
      <x:c r="R87" s="1"/>
      <x:c r="S87" s="1"/>
      <x:c r="T87" s="1"/>
      <x:c r="U87" s="1"/>
    </x:row>
    <x:row r="88">
      <x:c r="A88" s="1"/>
      <x:c r="B88" s="1"/>
      <x:c r="C88" s="1"/>
      <x:c r="D88" s="1"/>
      <x:c r="E88" s="1"/>
      <x:c r="F88" s="1"/>
      <x:c r="G88" s="1"/>
      <x:c r="H88" s="1"/>
      <x:c r="I88" s="1"/>
      <x:c r="J88" s="1"/>
      <x:c r="K88" s="1"/>
      <x:c r="L88" s="1"/>
      <x:c r="M88" s="1"/>
      <x:c r="N88" s="1"/>
      <x:c r="O88" s="1"/>
      <x:c r="P88" s="1"/>
      <x:c r="Q88" s="1"/>
      <x:c r="R88" s="1"/>
      <x:c r="S88" s="1"/>
      <x:c r="T88" s="1"/>
      <x:c r="U88" s="1"/>
    </x:row>
    <x:row r="89">
      <x:c r="A89" s="1"/>
      <x:c r="B89" s="1"/>
      <x:c r="C89" s="1"/>
      <x:c r="D89" s="1"/>
      <x:c r="E89" s="1"/>
      <x:c r="F89" s="1"/>
      <x:c r="G89" s="1"/>
      <x:c r="H89" s="1"/>
      <x:c r="I89" s="1"/>
      <x:c r="J89" s="1"/>
      <x:c r="K89" s="1"/>
      <x:c r="L89" s="1"/>
      <x:c r="M89" s="1"/>
      <x:c r="N89" s="1"/>
      <x:c r="O89" s="1"/>
      <x:c r="P89" s="1"/>
      <x:c r="Q89" s="1"/>
      <x:c r="R89" s="1"/>
      <x:c r="S89" s="1"/>
      <x:c r="T89" s="1"/>
      <x:c r="U89" s="1"/>
    </x:row>
    <x:row r="90">
      <x:c r="A90" s="1"/>
      <x:c r="B90" s="1"/>
      <x:c r="C90" s="1"/>
      <x:c r="D90" s="1"/>
      <x:c r="E90" s="1"/>
      <x:c r="F90" s="1"/>
      <x:c r="G90" s="1"/>
      <x:c r="H90" s="1"/>
      <x:c r="I90" s="1"/>
      <x:c r="J90" s="1"/>
      <x:c r="K90" s="1"/>
      <x:c r="L90" s="1"/>
      <x:c r="M90" s="1"/>
      <x:c r="N90" s="1"/>
      <x:c r="O90" s="1"/>
      <x:c r="P90" s="1"/>
      <x:c r="Q90" s="1"/>
      <x:c r="R90" s="1"/>
      <x:c r="S90" s="1"/>
      <x:c r="T90" s="1"/>
      <x:c r="U90" s="1"/>
    </x:row>
    <x:row r="91">
      <x:c r="A91" s="1"/>
      <x:c r="B91" s="1"/>
      <x:c r="C91" s="1"/>
      <x:c r="D91" s="1"/>
      <x:c r="E91" s="1"/>
      <x:c r="F91" s="1"/>
      <x:c r="G91" s="1"/>
      <x:c r="H91" s="1"/>
      <x:c r="I91" s="1"/>
      <x:c r="J91" s="1"/>
      <x:c r="K91" s="1"/>
      <x:c r="L91" s="1"/>
      <x:c r="M91" s="1"/>
      <x:c r="N91" s="1"/>
      <x:c r="O91" s="1"/>
      <x:c r="P91" s="1"/>
      <x:c r="Q91" s="1"/>
      <x:c r="R91" s="1"/>
      <x:c r="S91" s="1"/>
      <x:c r="T91" s="1"/>
      <x:c r="U91" s="1"/>
    </x:row>
    <x:row r="92">
      <x:c r="A92" s="1"/>
      <x:c r="B92" s="1"/>
      <x:c r="C92" s="1"/>
      <x:c r="D92" s="1"/>
      <x:c r="E92" s="1"/>
      <x:c r="F92" s="1"/>
      <x:c r="G92" s="1"/>
      <x:c r="H92" s="1"/>
      <x:c r="I92" s="1"/>
      <x:c r="J92" s="1"/>
      <x:c r="K92" s="1"/>
      <x:c r="L92" s="1"/>
      <x:c r="M92" s="1"/>
      <x:c r="N92" s="1"/>
      <x:c r="O92" s="1"/>
      <x:c r="P92" s="1"/>
      <x:c r="Q92" s="1"/>
      <x:c r="R92" s="1"/>
      <x:c r="S92" s="1"/>
      <x:c r="T92" s="1"/>
      <x:c r="U92" s="1"/>
    </x:row>
    <x:row r="93">
      <x:c r="A93" s="1"/>
      <x:c r="B93" s="1"/>
      <x:c r="C93" s="1"/>
      <x:c r="D93" s="1"/>
      <x:c r="E93" s="1"/>
      <x:c r="F93" s="1"/>
      <x:c r="G93" s="1"/>
      <x:c r="H93" s="1"/>
      <x:c r="I93" s="1"/>
      <x:c r="J93" s="1"/>
      <x:c r="K93" s="1"/>
      <x:c r="L93" s="1"/>
      <x:c r="M93" s="1"/>
      <x:c r="N93" s="1"/>
      <x:c r="O93" s="1"/>
      <x:c r="P93" s="1"/>
      <x:c r="Q93" s="1"/>
      <x:c r="R93" s="1"/>
      <x:c r="S93" s="1"/>
      <x:c r="T93" s="1"/>
      <x:c r="U93" s="1"/>
    </x:row>
    <x:row r="94">
      <x:c r="A94" s="1"/>
      <x:c r="B94" s="1"/>
      <x:c r="C94" s="1"/>
      <x:c r="D94" s="1"/>
      <x:c r="E94" s="1"/>
      <x:c r="F94" s="1"/>
      <x:c r="G94" s="1"/>
      <x:c r="H94" s="1"/>
      <x:c r="I94" s="1"/>
      <x:c r="J94" s="1"/>
      <x:c r="K94" s="1"/>
      <x:c r="L94" s="1"/>
      <x:c r="M94" s="1"/>
      <x:c r="N94" s="1"/>
      <x:c r="O94" s="1"/>
      <x:c r="P94" s="1"/>
      <x:c r="Q94" s="1"/>
      <x:c r="R94" s="1"/>
      <x:c r="S94" s="1"/>
      <x:c r="T94" s="1"/>
      <x:c r="U94" s="1"/>
    </x:row>
    <x:row r="95">
      <x:c r="A95" s="1"/>
      <x:c r="B95" s="1"/>
      <x:c r="C95" s="1"/>
      <x:c r="D95" s="1"/>
      <x:c r="E95" s="1"/>
      <x:c r="F95" s="1"/>
      <x:c r="G95" s="1"/>
      <x:c r="H95" s="1"/>
      <x:c r="I95" s="1"/>
      <x:c r="J95" s="1"/>
      <x:c r="K95" s="1"/>
      <x:c r="L95" s="1"/>
      <x:c r="M95" s="1"/>
      <x:c r="N95" s="1"/>
      <x:c r="O95" s="1"/>
      <x:c r="P95" s="1"/>
      <x:c r="Q95" s="1"/>
      <x:c r="R95" s="1"/>
      <x:c r="S95" s="1"/>
      <x:c r="T95" s="1"/>
      <x:c r="U95" s="1"/>
    </x:row>
    <x:row r="96">
      <x:c r="A96" s="1"/>
      <x:c r="B96" s="1"/>
      <x:c r="C96" s="1"/>
      <x:c r="D96" s="1"/>
      <x:c r="E96" s="1"/>
      <x:c r="F96" s="1"/>
      <x:c r="G96" s="1"/>
      <x:c r="H96" s="1"/>
      <x:c r="I96" s="1"/>
      <x:c r="J96" s="1"/>
      <x:c r="K96" s="1"/>
      <x:c r="L96" s="1"/>
      <x:c r="M96" s="1"/>
      <x:c r="N96" s="1"/>
      <x:c r="O96" s="1"/>
      <x:c r="P96" s="1"/>
      <x:c r="Q96" s="1"/>
      <x:c r="R96" s="1"/>
      <x:c r="S96" s="1"/>
      <x:c r="T96" s="1"/>
      <x:c r="U96" s="1"/>
    </x:row>
    <x:row r="97">
      <x:c r="A97" s="1"/>
      <x:c r="B97" s="1"/>
      <x:c r="C97" s="1"/>
      <x:c r="D97" s="1"/>
      <x:c r="E97" s="1"/>
      <x:c r="F97" s="1"/>
      <x:c r="G97" s="1"/>
      <x:c r="H97" s="1"/>
      <x:c r="I97" s="1"/>
      <x:c r="J97" s="1"/>
      <x:c r="K97" s="1"/>
      <x:c r="L97" s="1"/>
      <x:c r="M97" s="1"/>
      <x:c r="N97" s="1"/>
      <x:c r="O97" s="1"/>
      <x:c r="P97" s="1"/>
      <x:c r="Q97" s="1"/>
      <x:c r="R97" s="1"/>
      <x:c r="S97" s="1"/>
      <x:c r="T97" s="1"/>
      <x:c r="U97" s="1"/>
    </x:row>
    <x:row r="98">
      <x:c r="A98" s="1"/>
      <x:c r="B98" s="1"/>
      <x:c r="C98" s="1"/>
      <x:c r="D98" s="1"/>
      <x:c r="E98" s="1"/>
      <x:c r="F98" s="1"/>
      <x:c r="G98" s="1"/>
      <x:c r="H98" s="1"/>
      <x:c r="I98" s="1"/>
      <x:c r="J98" s="1"/>
      <x:c r="K98" s="1"/>
      <x:c r="L98" s="1"/>
      <x:c r="M98" s="1"/>
      <x:c r="N98" s="1"/>
      <x:c r="O98" s="1"/>
      <x:c r="P98" s="1"/>
      <x:c r="Q98" s="1"/>
      <x:c r="R98" s="1"/>
      <x:c r="S98" s="1"/>
      <x:c r="T98" s="1"/>
      <x:c r="U98" s="1"/>
    </x:row>
    <x:row r="99">
      <x:c r="A99" s="1"/>
      <x:c r="B99" s="1"/>
      <x:c r="C99" s="1"/>
      <x:c r="D99" s="1"/>
      <x:c r="E99" s="1"/>
      <x:c r="F99" s="1"/>
      <x:c r="G99" s="1"/>
      <x:c r="H99" s="1"/>
      <x:c r="I99" s="1"/>
      <x:c r="J99" s="1"/>
      <x:c r="K99" s="1"/>
      <x:c r="L99" s="1"/>
      <x:c r="M99" s="1"/>
      <x:c r="N99" s="1"/>
      <x:c r="O99" s="1"/>
      <x:c r="P99" s="1"/>
      <x:c r="Q99" s="1"/>
      <x:c r="R99" s="1"/>
      <x:c r="S99" s="1"/>
      <x:c r="T99" s="1"/>
      <x:c r="U99" s="1"/>
    </x:row>
    <x:row r="100">
      <x:c r="A100" s="1"/>
      <x:c r="B100" s="1"/>
      <x:c r="C100" s="1"/>
      <x:c r="D100" s="1"/>
      <x:c r="E100" s="1"/>
      <x:c r="F100" s="1"/>
      <x:c r="G100" s="1"/>
      <x:c r="H100" s="1"/>
      <x:c r="I100" s="1"/>
      <x:c r="J100" s="1"/>
      <x:c r="K100" s="1"/>
      <x:c r="L100" s="1"/>
      <x:c r="M100" s="1"/>
      <x:c r="N100" s="1"/>
      <x:c r="O100" s="1"/>
      <x:c r="P100" s="1"/>
      <x:c r="Q100" s="1"/>
      <x:c r="R100" s="1"/>
      <x:c r="S100" s="1"/>
      <x:c r="T100" s="1"/>
      <x:c r="U100" s="1"/>
    </x:row>
    <x:row r="101">
      <x:c r="A101" s="1"/>
      <x:c r="B101" s="1"/>
      <x:c r="C101" s="1"/>
      <x:c r="D101" s="1"/>
      <x:c r="E101" s="1"/>
      <x:c r="F101" s="1"/>
      <x:c r="G101" s="1"/>
      <x:c r="H101" s="1"/>
      <x:c r="I101" s="1"/>
      <x:c r="J101" s="1"/>
      <x:c r="K101" s="1"/>
      <x:c r="L101" s="1"/>
      <x:c r="M101" s="1"/>
      <x:c r="N101" s="1"/>
      <x:c r="O101" s="1"/>
      <x:c r="P101" s="1"/>
      <x:c r="Q101" s="1"/>
      <x:c r="R101" s="1"/>
      <x:c r="S101" s="1"/>
      <x:c r="T101" s="1"/>
      <x:c r="U101" s="1"/>
    </x:row>
    <x:row r="102">
      <x:c r="A102" s="1"/>
      <x:c r="B102" s="1"/>
      <x:c r="C102" s="1"/>
      <x:c r="D102" s="1"/>
      <x:c r="E102" s="1"/>
      <x:c r="F102" s="1"/>
      <x:c r="G102" s="1"/>
      <x:c r="H102" s="1"/>
      <x:c r="I102" s="1"/>
      <x:c r="J102" s="1"/>
      <x:c r="K102" s="1"/>
      <x:c r="L102" s="1"/>
      <x:c r="M102" s="1"/>
      <x:c r="N102" s="1"/>
      <x:c r="O102" s="1"/>
      <x:c r="P102" s="1"/>
      <x:c r="Q102" s="1"/>
      <x:c r="R102" s="1"/>
      <x:c r="S102" s="1"/>
      <x:c r="T102" s="1"/>
      <x:c r="U102" s="1"/>
    </x:row>
    <x:row r="103">
      <x:c r="A103" s="1"/>
      <x:c r="B103" s="1"/>
      <x:c r="C103" s="1"/>
      <x:c r="D103" s="1"/>
      <x:c r="E103" s="1"/>
      <x:c r="F103" s="1"/>
      <x:c r="G103" s="1"/>
      <x:c r="H103" s="1"/>
      <x:c r="I103" s="1"/>
      <x:c r="J103" s="1"/>
      <x:c r="K103" s="1"/>
      <x:c r="L103" s="1"/>
      <x:c r="M103" s="1"/>
      <x:c r="N103" s="1"/>
      <x:c r="O103" s="1"/>
      <x:c r="P103" s="1"/>
      <x:c r="Q103" s="1"/>
      <x:c r="R103" s="1"/>
      <x:c r="S103" s="1"/>
      <x:c r="T103" s="1"/>
      <x:c r="U103" s="1"/>
    </x:row>
    <x:row r="104">
      <x:c r="A104" s="1"/>
      <x:c r="B104" s="1"/>
      <x:c r="C104" s="1"/>
      <x:c r="D104" s="1"/>
      <x:c r="E104" s="1"/>
      <x:c r="F104" s="1"/>
      <x:c r="G104" s="1"/>
      <x:c r="H104" s="1"/>
      <x:c r="I104" s="1"/>
      <x:c r="J104" s="1"/>
      <x:c r="K104" s="1"/>
      <x:c r="L104" s="1"/>
      <x:c r="M104" s="1"/>
      <x:c r="N104" s="1"/>
      <x:c r="O104" s="1"/>
      <x:c r="P104" s="1"/>
      <x:c r="Q104" s="1"/>
      <x:c r="R104" s="1"/>
      <x:c r="S104" s="1"/>
      <x:c r="T104" s="1"/>
      <x:c r="U104" s="1"/>
    </x:row>
    <x:row r="105">
      <x:c r="A105" s="1"/>
      <x:c r="B105" s="1"/>
      <x:c r="C105" s="1"/>
      <x:c r="D105" s="1"/>
      <x:c r="E105" s="1"/>
      <x:c r="F105" s="1"/>
      <x:c r="G105" s="1"/>
      <x:c r="H105" s="1"/>
      <x:c r="I105" s="1"/>
      <x:c r="J105" s="1"/>
      <x:c r="K105" s="1"/>
      <x:c r="L105" s="1"/>
      <x:c r="M105" s="1"/>
      <x:c r="N105" s="1"/>
      <x:c r="O105" s="1"/>
      <x:c r="P105" s="1"/>
      <x:c r="Q105" s="1"/>
      <x:c r="R105" s="1"/>
      <x:c r="S105" s="1"/>
      <x:c r="T105" s="1"/>
      <x:c r="U105" s="1"/>
    </x:row>
    <x:row r="106">
      <x:c r="A106" s="1"/>
      <x:c r="B106" s="1"/>
      <x:c r="C106" s="1"/>
      <x:c r="D106" s="1"/>
      <x:c r="E106" s="1"/>
      <x:c r="F106" s="1"/>
      <x:c r="G106" s="1"/>
      <x:c r="H106" s="1"/>
      <x:c r="I106" s="1"/>
      <x:c r="J106" s="1"/>
      <x:c r="K106" s="1"/>
      <x:c r="L106" s="1"/>
      <x:c r="M106" s="1"/>
      <x:c r="N106" s="1"/>
      <x:c r="O106" s="1"/>
      <x:c r="P106" s="1"/>
      <x:c r="Q106" s="1"/>
      <x:c r="R106" s="1"/>
      <x:c r="S106" s="1"/>
      <x:c r="T106" s="1"/>
      <x:c r="U106" s="1"/>
    </x:row>
    <x:row r="107">
      <x:c r="A107" s="1"/>
      <x:c r="B107" s="1"/>
      <x:c r="C107" s="1"/>
      <x:c r="D107" s="1"/>
      <x:c r="E107" s="1"/>
      <x:c r="F107" s="1"/>
      <x:c r="G107" s="1"/>
      <x:c r="H107" s="1"/>
      <x:c r="I107" s="1"/>
      <x:c r="J107" s="1"/>
      <x:c r="K107" s="1"/>
      <x:c r="L107" s="1"/>
      <x:c r="M107" s="1"/>
      <x:c r="N107" s="1"/>
      <x:c r="O107" s="1"/>
      <x:c r="P107" s="1"/>
      <x:c r="Q107" s="1"/>
      <x:c r="R107" s="1"/>
      <x:c r="S107" s="1"/>
      <x:c r="T107" s="1"/>
      <x:c r="U107" s="1"/>
    </x:row>
    <x:row r="108">
      <x:c r="A108" s="1"/>
      <x:c r="B108" s="1"/>
      <x:c r="C108" s="1"/>
      <x:c r="D108" s="1"/>
      <x:c r="E108" s="1"/>
      <x:c r="F108" s="1"/>
      <x:c r="G108" s="1"/>
      <x:c r="H108" s="1"/>
      <x:c r="I108" s="1"/>
      <x:c r="J108" s="1"/>
      <x:c r="K108" s="1"/>
      <x:c r="L108" s="1"/>
      <x:c r="M108" s="1"/>
      <x:c r="N108" s="1"/>
      <x:c r="O108" s="1"/>
      <x:c r="P108" s="1"/>
      <x:c r="Q108" s="1"/>
      <x:c r="R108" s="1"/>
      <x:c r="S108" s="1"/>
      <x:c r="T108" s="1"/>
      <x:c r="U108" s="1"/>
    </x:row>
    <x:row r="109">
      <x:c r="A109" s="1"/>
      <x:c r="B109" s="1"/>
      <x:c r="C109" s="1"/>
      <x:c r="D109" s="1"/>
      <x:c r="E109" s="1"/>
      <x:c r="F109" s="1"/>
      <x:c r="G109" s="1"/>
      <x:c r="H109" s="1"/>
      <x:c r="I109" s="1"/>
      <x:c r="J109" s="1"/>
      <x:c r="K109" s="1"/>
      <x:c r="L109" s="1"/>
      <x:c r="M109" s="1"/>
      <x:c r="N109" s="1"/>
      <x:c r="O109" s="1"/>
      <x:c r="P109" s="1"/>
      <x:c r="Q109" s="1"/>
      <x:c r="R109" s="1"/>
      <x:c r="S109" s="1"/>
      <x:c r="T109" s="1"/>
      <x:c r="U109" s="1"/>
    </x:row>
    <x:row r="110">
      <x:c r="A110" s="1"/>
      <x:c r="B110" s="1"/>
      <x:c r="C110" s="1"/>
      <x:c r="D110" s="1"/>
      <x:c r="E110" s="1"/>
      <x:c r="F110" s="1"/>
      <x:c r="G110" s="1"/>
      <x:c r="H110" s="1"/>
      <x:c r="I110" s="1"/>
      <x:c r="J110" s="1"/>
      <x:c r="K110" s="1"/>
      <x:c r="L110" s="1"/>
      <x:c r="M110" s="1"/>
      <x:c r="N110" s="1"/>
      <x:c r="O110" s="1"/>
      <x:c r="P110" s="1"/>
      <x:c r="Q110" s="1"/>
      <x:c r="R110" s="1"/>
      <x:c r="S110" s="1"/>
      <x:c r="T110" s="1"/>
      <x:c r="U110" s="1"/>
    </x:row>
    <x:row r="111">
      <x:c r="A111" s="1"/>
      <x:c r="B111" s="1"/>
      <x:c r="C111" s="1"/>
      <x:c r="D111" s="1"/>
      <x:c r="E111" s="1"/>
      <x:c r="F111" s="1"/>
      <x:c r="G111" s="1"/>
      <x:c r="H111" s="1"/>
      <x:c r="I111" s="1"/>
      <x:c r="J111" s="1"/>
      <x:c r="K111" s="1"/>
      <x:c r="L111" s="1"/>
      <x:c r="M111" s="1"/>
      <x:c r="N111" s="1"/>
      <x:c r="O111" s="1"/>
      <x:c r="P111" s="1"/>
      <x:c r="Q111" s="1"/>
      <x:c r="R111" s="1"/>
      <x:c r="S111" s="1"/>
      <x:c r="T111" s="1"/>
      <x:c r="U111" s="1"/>
    </x:row>
    <x:row r="112">
      <x:c r="A112" s="1"/>
      <x:c r="B112" s="1"/>
      <x:c r="C112" s="1"/>
      <x:c r="D112" s="1"/>
      <x:c r="E112" s="1"/>
      <x:c r="F112" s="1"/>
      <x:c r="G112" s="1"/>
      <x:c r="H112" s="1"/>
      <x:c r="I112" s="1"/>
      <x:c r="J112" s="1"/>
      <x:c r="K112" s="1"/>
      <x:c r="L112" s="1"/>
      <x:c r="M112" s="1"/>
      <x:c r="N112" s="1"/>
      <x:c r="O112" s="1"/>
      <x:c r="P112" s="1"/>
      <x:c r="Q112" s="1"/>
      <x:c r="R112" s="1"/>
      <x:c r="S112" s="1"/>
      <x:c r="T112" s="1"/>
      <x:c r="U112" s="1"/>
    </x:row>
    <x:row r="113">
      <x:c r="A113" s="1"/>
      <x:c r="B113" s="1"/>
      <x:c r="C113" s="1"/>
      <x:c r="D113" s="1"/>
      <x:c r="E113" s="1"/>
      <x:c r="F113" s="1"/>
      <x:c r="G113" s="1"/>
      <x:c r="H113" s="1"/>
      <x:c r="I113" s="1"/>
      <x:c r="J113" s="1"/>
      <x:c r="K113" s="1"/>
      <x:c r="L113" s="1"/>
      <x:c r="M113" s="1"/>
      <x:c r="N113" s="1"/>
      <x:c r="O113" s="1"/>
      <x:c r="P113" s="1"/>
      <x:c r="Q113" s="1"/>
      <x:c r="R113" s="1"/>
      <x:c r="S113" s="1"/>
      <x:c r="T113" s="1"/>
      <x:c r="U113" s="1"/>
    </x:row>
    <x:row r="114">
      <x:c r="A114" s="1"/>
      <x:c r="B114" s="1"/>
      <x:c r="C114" s="1"/>
      <x:c r="D114" s="1"/>
      <x:c r="E114" s="1"/>
      <x:c r="F114" s="1"/>
      <x:c r="G114" s="1"/>
      <x:c r="H114" s="1"/>
      <x:c r="I114" s="1"/>
      <x:c r="J114" s="1"/>
      <x:c r="K114" s="1"/>
      <x:c r="L114" s="1"/>
      <x:c r="M114" s="1"/>
      <x:c r="N114" s="1"/>
      <x:c r="O114" s="1"/>
      <x:c r="P114" s="1"/>
      <x:c r="Q114" s="1"/>
      <x:c r="R114" s="1"/>
      <x:c r="S114" s="1"/>
      <x:c r="T114" s="1"/>
      <x:c r="U114" s="1"/>
    </x:row>
    <x:row r="115">
      <x:c r="A115" s="1"/>
      <x:c r="B115" s="1"/>
      <x:c r="C115" s="1"/>
      <x:c r="D115" s="1"/>
      <x:c r="E115" s="1"/>
      <x:c r="F115" s="1"/>
      <x:c r="G115" s="1"/>
      <x:c r="H115" s="1"/>
      <x:c r="I115" s="1"/>
      <x:c r="J115" s="1"/>
      <x:c r="K115" s="1"/>
      <x:c r="L115" s="1"/>
      <x:c r="M115" s="1"/>
      <x:c r="N115" s="1"/>
      <x:c r="O115" s="1"/>
      <x:c r="P115" s="1"/>
      <x:c r="Q115" s="1"/>
      <x:c r="R115" s="1"/>
      <x:c r="S115" s="1"/>
      <x:c r="T115" s="1"/>
      <x:c r="U115" s="1"/>
    </x:row>
    <x:row r="116">
      <x:c r="A116" s="1"/>
      <x:c r="B116" s="1"/>
      <x:c r="C116" s="1"/>
      <x:c r="D116" s="1"/>
      <x:c r="E116" s="1"/>
      <x:c r="F116" s="1"/>
      <x:c r="G116" s="1"/>
      <x:c r="H116" s="1"/>
      <x:c r="I116" s="1"/>
      <x:c r="J116" s="1"/>
      <x:c r="K116" s="1"/>
      <x:c r="L116" s="1"/>
      <x:c r="M116" s="1"/>
      <x:c r="N116" s="1"/>
      <x:c r="O116" s="1"/>
      <x:c r="P116" s="1"/>
      <x:c r="Q116" s="1"/>
      <x:c r="R116" s="1"/>
      <x:c r="S116" s="1"/>
      <x:c r="T116" s="1"/>
      <x:c r="U116" s="1"/>
    </x:row>
    <x:row r="117">
      <x:c r="A117" s="1"/>
      <x:c r="B117" s="1"/>
      <x:c r="C117" s="1"/>
      <x:c r="D117" s="1"/>
      <x:c r="E117" s="1"/>
      <x:c r="F117" s="1"/>
      <x:c r="G117" s="1"/>
      <x:c r="H117" s="1"/>
      <x:c r="I117" s="1"/>
      <x:c r="J117" s="1"/>
      <x:c r="K117" s="1"/>
      <x:c r="L117" s="1"/>
      <x:c r="M117" s="1"/>
      <x:c r="N117" s="1"/>
      <x:c r="O117" s="1"/>
      <x:c r="P117" s="1"/>
      <x:c r="Q117" s="1"/>
      <x:c r="R117" s="1"/>
      <x:c r="S117" s="1"/>
      <x:c r="T117" s="1"/>
      <x:c r="U117" s="1"/>
    </x:row>
    <x:row r="118">
      <x:c r="A118" s="1"/>
      <x:c r="B118" s="1"/>
      <x:c r="C118" s="1"/>
      <x:c r="D118" s="1"/>
      <x:c r="E118" s="1"/>
      <x:c r="F118" s="1"/>
      <x:c r="G118" s="1"/>
      <x:c r="H118" s="1"/>
      <x:c r="I118" s="1"/>
      <x:c r="J118" s="1"/>
      <x:c r="K118" s="1"/>
      <x:c r="L118" s="1"/>
      <x:c r="M118" s="1"/>
      <x:c r="N118" s="1"/>
      <x:c r="O118" s="1"/>
      <x:c r="P118" s="1"/>
      <x:c r="Q118" s="1"/>
      <x:c r="R118" s="1"/>
      <x:c r="S118" s="1"/>
      <x:c r="T118" s="1"/>
      <x:c r="U118" s="1"/>
    </x:row>
    <x:row r="119">
      <x:c r="A119" s="1"/>
      <x:c r="B119" s="1"/>
      <x:c r="C119" s="1"/>
      <x:c r="D119" s="1"/>
      <x:c r="E119" s="1"/>
      <x:c r="F119" s="1"/>
      <x:c r="G119" s="1"/>
      <x:c r="H119" s="1"/>
      <x:c r="I119" s="1"/>
      <x:c r="J119" s="1"/>
      <x:c r="K119" s="1"/>
      <x:c r="L119" s="1"/>
      <x:c r="M119" s="1"/>
      <x:c r="N119" s="1"/>
      <x:c r="O119" s="1"/>
      <x:c r="P119" s="1"/>
      <x:c r="Q119" s="1"/>
      <x:c r="R119" s="1"/>
      <x:c r="S119" s="1"/>
      <x:c r="T119" s="1"/>
      <x:c r="U119" s="1"/>
    </x:row>
    <x:row r="120">
      <x:c r="A120" s="1"/>
      <x:c r="B120" s="1"/>
      <x:c r="C120" s="1"/>
      <x:c r="D120" s="1"/>
      <x:c r="E120" s="1"/>
      <x:c r="F120" s="1"/>
      <x:c r="G120" s="1"/>
      <x:c r="H120" s="1"/>
      <x:c r="I120" s="1"/>
      <x:c r="J120" s="1"/>
      <x:c r="K120" s="1"/>
      <x:c r="L120" s="1"/>
      <x:c r="M120" s="1"/>
      <x:c r="N120" s="1"/>
      <x:c r="O120" s="1"/>
      <x:c r="P120" s="1"/>
      <x:c r="Q120" s="1"/>
      <x:c r="R120" s="1"/>
      <x:c r="S120" s="1"/>
      <x:c r="T120" s="1"/>
      <x:c r="U120" s="1"/>
    </x:row>
  </x:sheetData>
  <x:conditionalFormatting sqref="H2:H68">
    <x:cfRule type="cellIs" dxfId="1" priority="1" operator="lessThan">
      <x:formula>0</x:formula>
    </x:cfRule>
  </x:conditionalFormatting>
  <x:dataValidations count="1">
    <x:dataValidation type="list" sqref="J2:J68">
      <x:formula1>"lodging,food,transport,attraction,experience"</x:formula1>
    </x:dataValidation>
  </x:dataValidations>
  <x:pageMargins left="0.7" right="0.7" top="0.75" bottom="0.75" header="0.3" footer="0.3"/>
  <x:tableParts count="1">
    <x:tablePart xmlns:r="http://schemas.openxmlformats.org/officeDocument/2006/relationships" r:id="R2681dfb053c94f6c"/>
  </x:tableParts>
</x:worksheet>
</file>

<file path=xl/worksheets/sheet11.xml><?xml version="1.0" encoding="utf-8"?>
<x:worksheet xmlns:x="http://schemas.openxmlformats.org/spreadsheetml/2006/main">
  <x:sheetFormatPr defaultRowHeight="14.25"/>
  <x:cols>
    <x:col min="1" max="1" width="25.375" customWidth="1"/>
    <x:col min="2" max="2" width="13" customWidth="1"/>
  </x:cols>
  <x:sheetData>
    <x:row r="1" ht="15" customHeight="1">
      <x:c r="A1" s="4" t="s">
        <x:v>34</x:v>
      </x:c>
      <x:c r="B1" s="4" t="s">
        <x:v>151</x:v>
      </x:c>
    </x:row>
    <x:row r="2" ht="15" customHeight="1">
      <x:c r="A2" s="2" t="s">
        <x:v>45</x:v>
      </x:c>
      <x:c r="B2" s="2" t="s">
        <x:v>164</x:v>
      </x:c>
    </x:row>
    <x:row r="3" ht="15" customHeight="1">
      <x:c r="A3" s="2" t="s">
        <x:v>43</x:v>
      </x:c>
      <x:c r="B3" s="2" t="s">
        <x:v>164</x:v>
      </x:c>
    </x:row>
    <x:row r="4" ht="15" customHeight="1">
      <x:c r="A4" s="2" t="s">
        <x:v>51</x:v>
      </x:c>
      <x:c r="B4" s="2" t="s">
        <x:v>164</x:v>
      </x:c>
    </x:row>
    <x:row r="5" ht="15" customHeight="1">
      <x:c r="A5" s="2" t="s">
        <x:v>45</x:v>
      </x:c>
      <x:c r="B5" s="2" t="s">
        <x:v>173</x:v>
      </x:c>
    </x:row>
    <x:row r="6" ht="15" customHeight="1">
      <x:c r="A6" s="2" t="s">
        <x:v>43</x:v>
      </x:c>
      <x:c r="B6" s="2" t="s">
        <x:v>173</x:v>
      </x:c>
    </x:row>
    <x:row r="7" ht="15" customHeight="1">
      <x:c r="A7" s="2" t="s">
        <x:v>51</x:v>
      </x:c>
      <x:c r="B7" s="2" t="s">
        <x:v>173</x:v>
      </x:c>
    </x:row>
    <x:row r="8" ht="15" customHeight="1">
      <x:c r="A8" s="2" t="s">
        <x:v>45</x:v>
      </x:c>
      <x:c r="B8" s="2" t="s">
        <x:v>176</x:v>
      </x:c>
    </x:row>
    <x:row r="9" ht="15" customHeight="1">
      <x:c r="A9" s="2" t="s">
        <x:v>43</x:v>
      </x:c>
      <x:c r="B9" s="2" t="s">
        <x:v>176</x:v>
      </x:c>
    </x:row>
    <x:row r="10" ht="15" customHeight="1">
      <x:c r="A10" s="2" t="s">
        <x:v>45</x:v>
      </x:c>
      <x:c r="B10" s="2" t="s">
        <x:v>179</x:v>
      </x:c>
    </x:row>
    <x:row r="11" ht="15" customHeight="1">
      <x:c r="A11" s="2" t="s">
        <x:v>43</x:v>
      </x:c>
      <x:c r="B11" s="2" t="s">
        <x:v>179</x:v>
      </x:c>
    </x:row>
    <x:row r="12" ht="15" customHeight="1">
      <x:c r="A12" s="2" t="s">
        <x:v>51</x:v>
      </x:c>
      <x:c r="B12" s="2" t="s">
        <x:v>179</x:v>
      </x:c>
    </x:row>
    <x:row r="13" ht="15" customHeight="1">
      <x:c r="A13" s="2" t="s">
        <x:v>47</x:v>
      </x:c>
      <x:c r="B13" s="2" t="s">
        <x:v>182</x:v>
      </x:c>
    </x:row>
    <x:row r="14" ht="15" customHeight="1">
      <x:c r="A14" s="2" t="s">
        <x:v>41</x:v>
      </x:c>
      <x:c r="B14" s="2" t="s">
        <x:v>182</x:v>
      </x:c>
    </x:row>
    <x:row r="15" ht="15" customHeight="1">
      <x:c r="A15" s="2" t="s">
        <x:v>47</x:v>
      </x:c>
      <x:c r="B15" s="2" t="s">
        <x:v>185</x:v>
      </x:c>
    </x:row>
    <x:row r="16" ht="15" customHeight="1">
      <x:c r="A16" s="2" t="s">
        <x:v>41</x:v>
      </x:c>
      <x:c r="B16" s="2" t="s">
        <x:v>185</x:v>
      </x:c>
    </x:row>
    <x:row r="17" ht="15" customHeight="1">
      <x:c r="A17" s="2" t="s">
        <x:v>51</x:v>
      </x:c>
      <x:c r="B17" s="2" t="s">
        <x:v>185</x:v>
      </x:c>
    </x:row>
    <x:row r="18" ht="15" customHeight="1">
      <x:c r="A18" s="2" t="s">
        <x:v>47</x:v>
      </x:c>
      <x:c r="B18" s="2" t="s">
        <x:v>188</x:v>
      </x:c>
    </x:row>
    <x:row r="19" ht="15" customHeight="1">
      <x:c r="A19" s="2" t="s">
        <x:v>41</x:v>
      </x:c>
      <x:c r="B19" s="2" t="s">
        <x:v>188</x:v>
      </x:c>
    </x:row>
    <x:row r="20" ht="15" customHeight="1">
      <x:c r="A20" s="2" t="s">
        <x:v>51</x:v>
      </x:c>
      <x:c r="B20" s="2" t="s">
        <x:v>188</x:v>
      </x:c>
    </x:row>
    <x:row r="21" ht="15" customHeight="1">
      <x:c r="A21" s="2" t="s">
        <x:v>47</x:v>
      </x:c>
      <x:c r="B21" s="2" t="s">
        <x:v>191</x:v>
      </x:c>
    </x:row>
    <x:row r="22" ht="15" customHeight="1">
      <x:c r="A22" s="2" t="s">
        <x:v>41</x:v>
      </x:c>
      <x:c r="B22" s="2" t="s">
        <x:v>191</x:v>
      </x:c>
    </x:row>
    <x:row r="23" ht="15" customHeight="1">
      <x:c r="A23" s="2" t="s">
        <x:v>51</x:v>
      </x:c>
      <x:c r="B23" s="2" t="s">
        <x:v>191</x:v>
      </x:c>
    </x:row>
    <x:row r="24" ht="15" customHeight="1">
      <x:c r="A24" s="2" t="s">
        <x:v>39</x:v>
      </x:c>
      <x:c r="B24" s="2" t="s">
        <x:v>194</x:v>
      </x:c>
    </x:row>
    <x:row r="25" ht="15" customHeight="1">
      <x:c r="A25" s="2" t="s">
        <x:v>45</x:v>
      </x:c>
      <x:c r="B25" s="2" t="s">
        <x:v>194</x:v>
      </x:c>
    </x:row>
    <x:row r="26" ht="15" customHeight="1">
      <x:c r="A26" s="2" t="s">
        <x:v>51</x:v>
      </x:c>
      <x:c r="B26" s="2" t="s">
        <x:v>194</x:v>
      </x:c>
    </x:row>
    <x:row r="27" ht="15" customHeight="1">
      <x:c r="A27" s="2" t="s">
        <x:v>39</x:v>
      </x:c>
      <x:c r="B27" s="2" t="s">
        <x:v>197</x:v>
      </x:c>
    </x:row>
    <x:row r="28" ht="15" customHeight="1">
      <x:c r="A28" s="2" t="s">
        <x:v>45</x:v>
      </x:c>
      <x:c r="B28" s="2" t="s">
        <x:v>197</x:v>
      </x:c>
    </x:row>
    <x:row r="29" ht="15" customHeight="1">
      <x:c r="A29" s="2" t="s">
        <x:v>39</x:v>
      </x:c>
      <x:c r="B29" s="2" t="s">
        <x:v>200</x:v>
      </x:c>
    </x:row>
    <x:row r="30" ht="15" customHeight="1">
      <x:c r="A30" s="2" t="s">
        <x:v>45</x:v>
      </x:c>
      <x:c r="B30" s="2" t="s">
        <x:v>200</x:v>
      </x:c>
    </x:row>
    <x:row r="31" ht="15" customHeight="1">
      <x:c r="A31" s="2" t="s">
        <x:v>51</x:v>
      </x:c>
      <x:c r="B31" s="2" t="s">
        <x:v>200</x:v>
      </x:c>
    </x:row>
    <x:row r="32" ht="15" customHeight="1">
      <x:c r="A32" s="2" t="s">
        <x:v>39</x:v>
      </x:c>
      <x:c r="B32" s="2" t="s">
        <x:v>203</x:v>
      </x:c>
    </x:row>
    <x:row r="33" ht="15" customHeight="1">
      <x:c r="A33" s="2" t="s">
        <x:v>45</x:v>
      </x:c>
      <x:c r="B33" s="2" t="s">
        <x:v>203</x:v>
      </x:c>
    </x:row>
    <x:row r="34" ht="15" customHeight="1">
      <x:c r="A34" s="2" t="s">
        <x:v>51</x:v>
      </x:c>
      <x:c r="B34" s="2" t="s">
        <x:v>203</x:v>
      </x:c>
    </x:row>
  </x:sheetData>
  <x:pageMargins left="0.7" right="0.7" top="0.75" bottom="0.75" header="0.3" footer="0.3"/>
  <x:tableParts count="1">
    <x:tablePart xmlns:r="http://schemas.openxmlformats.org/officeDocument/2006/relationships" r:id="Re95dcdc12b774436"/>
  </x:tableParts>
</x:worksheet>
</file>

<file path=xl/worksheets/sheet12.xml><?xml version="1.0" encoding="utf-8"?>
<x:worksheet xmlns:x="http://schemas.openxmlformats.org/spreadsheetml/2006/main">
  <x:sheetFormatPr defaultRowHeight="14.25"/>
  <x:cols>
    <x:col min="1" max="1" width="25.375" customWidth="1"/>
    <x:col min="2" max="2" width="22" customWidth="1"/>
  </x:cols>
  <x:sheetData>
    <x:row r="1" ht="15" customHeight="1">
      <x:c r="A1" s="4" t="s">
        <x:v>34</x:v>
      </x:c>
      <x:c r="B1" s="4" t="s">
        <x:v>209</x:v>
      </x:c>
    </x:row>
    <x:row r="2" ht="15" customHeight="1">
      <x:c r="A2" s="2" t="s">
        <x:v>45</x:v>
      </x:c>
      <x:c r="B2" s="2" t="s">
        <x:v>219</x:v>
      </x:c>
    </x:row>
    <x:row r="3" ht="15" customHeight="1">
      <x:c r="A3" s="2" t="s">
        <x:v>39</x:v>
      </x:c>
      <x:c r="B3" s="2" t="s">
        <x:v>229</x:v>
      </x:c>
    </x:row>
    <x:row r="4" ht="15" customHeight="1">
      <x:c r="A4" s="2" t="s">
        <x:v>45</x:v>
      </x:c>
      <x:c r="B4" s="2" t="s">
        <x:v>238</x:v>
      </x:c>
    </x:row>
    <x:row r="5" ht="15" customHeight="1">
      <x:c r="A5" s="2" t="s">
        <x:v>45</x:v>
      </x:c>
      <x:c r="B5" s="2" t="s">
        <x:v>241</x:v>
      </x:c>
    </x:row>
    <x:row r="6" ht="15" customHeight="1">
      <x:c r="A6" s="2" t="s">
        <x:v>45</x:v>
      </x:c>
      <x:c r="B6" s="2" t="s">
        <x:v>250</x:v>
      </x:c>
    </x:row>
    <x:row r="7" ht="15" customHeight="1">
      <x:c r="A7" s="2" t="s">
        <x:v>41</x:v>
      </x:c>
      <x:c r="B7" s="2" t="s">
        <x:v>253</x:v>
      </x:c>
    </x:row>
    <x:row r="8" ht="15" customHeight="1">
      <x:c r="A8" s="2" t="s">
        <x:v>37</x:v>
      </x:c>
      <x:c r="B8" s="2" t="s">
        <x:v>253</x:v>
      </x:c>
    </x:row>
    <x:row r="9" ht="15" customHeight="1">
      <x:c r="A9" s="2" t="s">
        <x:v>51</x:v>
      </x:c>
      <x:c r="B9" s="2" t="s">
        <x:v>261</x:v>
      </x:c>
    </x:row>
    <x:row r="10" ht="15" customHeight="1">
      <x:c r="A10" s="2" t="s">
        <x:v>37</x:v>
      </x:c>
      <x:c r="B10" s="2" t="s">
        <x:v>261</x:v>
      </x:c>
    </x:row>
    <x:row r="11" ht="15" customHeight="1">
      <x:c r="A11" s="2" t="s">
        <x:v>47</x:v>
      </x:c>
      <x:c r="B11" s="2" t="s">
        <x:v>270</x:v>
      </x:c>
    </x:row>
    <x:row r="12" ht="15" customHeight="1">
      <x:c r="A12" s="2" t="s">
        <x:v>37</x:v>
      </x:c>
      <x:c r="B12" s="2" t="s">
        <x:v>270</x:v>
      </x:c>
    </x:row>
    <x:row r="13" ht="15" customHeight="1">
      <x:c r="A13" s="2" t="s">
        <x:v>47</x:v>
      </x:c>
      <x:c r="B13" s="2" t="s">
        <x:v>273</x:v>
      </x:c>
    </x:row>
    <x:row r="14" ht="15" customHeight="1">
      <x:c r="A14" s="2" t="s">
        <x:v>47</x:v>
      </x:c>
      <x:c r="B14" s="2" t="s">
        <x:v>276</x:v>
      </x:c>
    </x:row>
    <x:row r="15" ht="15" customHeight="1">
      <x:c r="A15" s="2" t="s">
        <x:v>47</x:v>
      </x:c>
      <x:c r="B15" s="2" t="s">
        <x:v>279</x:v>
      </x:c>
    </x:row>
    <x:row r="16" ht="15" customHeight="1">
      <x:c r="A16" s="2" t="s">
        <x:v>47</x:v>
      </x:c>
      <x:c r="B16" s="2" t="s">
        <x:v>282</x:v>
      </x:c>
    </x:row>
    <x:row r="17" ht="15" customHeight="1">
      <x:c r="A17" s="2" t="s">
        <x:v>47</x:v>
      </x:c>
      <x:c r="B17" s="2" t="s">
        <x:v>285</x:v>
      </x:c>
    </x:row>
    <x:row r="18" ht="15" customHeight="1">
      <x:c r="A18" s="2" t="s">
        <x:v>47</x:v>
      </x:c>
      <x:c r="B18" s="2" t="s">
        <x:v>288</x:v>
      </x:c>
    </x:row>
    <x:row r="19" ht="15" customHeight="1">
      <x:c r="A19" s="2" t="s">
        <x:v>41</x:v>
      </x:c>
      <x:c r="B19" s="2" t="s">
        <x:v>291</x:v>
      </x:c>
    </x:row>
    <x:row r="20" ht="15" customHeight="1">
      <x:c r="A20" s="2" t="s">
        <x:v>37</x:v>
      </x:c>
      <x:c r="B20" s="2" t="s">
        <x:v>291</x:v>
      </x:c>
    </x:row>
    <x:row r="21" ht="15" customHeight="1">
      <x:c r="A21" s="2" t="s">
        <x:v>51</x:v>
      </x:c>
      <x:c r="B21" s="2" t="s">
        <x:v>294</x:v>
      </x:c>
    </x:row>
    <x:row r="22" ht="15" customHeight="1">
      <x:c r="A22" s="2" t="s">
        <x:v>37</x:v>
      </x:c>
      <x:c r="B22" s="2" t="s">
        <x:v>294</x:v>
      </x:c>
    </x:row>
    <x:row r="23" ht="15" customHeight="1">
      <x:c r="A23" s="2" t="s">
        <x:v>39</x:v>
      </x:c>
      <x:c r="B23" s="2" t="s">
        <x:v>297</x:v>
      </x:c>
    </x:row>
    <x:row r="24" ht="15" customHeight="1">
      <x:c r="A24" s="2" t="s">
        <x:v>39</x:v>
      </x:c>
      <x:c r="B24" s="2" t="s">
        <x:v>300</x:v>
      </x:c>
    </x:row>
    <x:row r="25" ht="15" customHeight="1">
      <x:c r="A25" s="2" t="s">
        <x:v>39</x:v>
      </x:c>
      <x:c r="B25" s="2" t="s">
        <x:v>303</x:v>
      </x:c>
    </x:row>
    <x:row r="26" ht="15" customHeight="1">
      <x:c r="A26" s="2" t="s">
        <x:v>39</x:v>
      </x:c>
      <x:c r="B26" s="2" t="s">
        <x:v>306</x:v>
      </x:c>
    </x:row>
    <x:row r="27" ht="15" customHeight="1">
      <x:c r="A27" s="2" t="s">
        <x:v>39</x:v>
      </x:c>
      <x:c r="B27" s="2" t="s">
        <x:v>309</x:v>
      </x:c>
    </x:row>
    <x:row r="28" ht="15" customHeight="1">
      <x:c r="A28" s="2" t="s">
        <x:v>39</x:v>
      </x:c>
      <x:c r="B28" s="2" t="s">
        <x:v>312</x:v>
      </x:c>
    </x:row>
    <x:row r="29" ht="15" customHeight="1">
      <x:c r="A29" s="2" t="s">
        <x:v>39</x:v>
      </x:c>
      <x:c r="B29" s="2" t="s">
        <x:v>315</x:v>
      </x:c>
    </x:row>
    <x:row r="30" ht="15" customHeight="1">
      <x:c r="A30" s="2" t="s">
        <x:v>45</x:v>
      </x:c>
      <x:c r="B30" s="2" t="s">
        <x:v>318</x:v>
      </x:c>
    </x:row>
    <x:row r="31" ht="15" customHeight="1">
      <x:c r="A31" s="2" t="s">
        <x:v>37</x:v>
      </x:c>
      <x:c r="B31" s="2" t="s">
        <x:v>318</x:v>
      </x:c>
    </x:row>
    <x:row r="32" ht="15" customHeight="1">
      <x:c r="A32" s="2" t="s">
        <x:v>41</x:v>
      </x:c>
      <x:c r="B32" s="2" t="s">
        <x:v>321</x:v>
      </x:c>
    </x:row>
    <x:row r="33" ht="15" customHeight="1">
      <x:c r="A33" s="2" t="s">
        <x:v>37</x:v>
      </x:c>
      <x:c r="B33" s="2" t="s">
        <x:v>321</x:v>
      </x:c>
    </x:row>
    <x:row r="34" ht="15" customHeight="1">
      <x:c r="A34" s="2" t="s">
        <x:v>51</x:v>
      </x:c>
      <x:c r="B34" s="2" t="s">
        <x:v>326</x:v>
      </x:c>
    </x:row>
    <x:row r="35" ht="15" customHeight="1">
      <x:c r="A35" s="2" t="s">
        <x:v>37</x:v>
      </x:c>
      <x:c r="B35" s="2" t="s">
        <x:v>326</x:v>
      </x:c>
    </x:row>
  </x:sheetData>
  <x:pageMargins left="0.7" right="0.7" top="0.75" bottom="0.75" header="0.3" footer="0.3"/>
  <x:tableParts count="1">
    <x:tablePart xmlns:r="http://schemas.openxmlformats.org/officeDocument/2006/relationships" r:id="R30903e9e1b7647dc"/>
  </x:tableParts>
</x:worksheet>
</file>

<file path=xl/worksheets/sheet13.xml><?xml version="1.0" encoding="utf-8"?>
<x:worksheet xmlns:x="http://schemas.openxmlformats.org/spreadsheetml/2006/main">
  <x:sheetFormatPr defaultRowHeight="14.25"/>
  <x:cols>
    <x:col min="1" max="1" width="18" customWidth="1"/>
    <x:col min="2" max="3" width="16" customWidth="1"/>
    <x:col min="4" max="4" width="24" customWidth="1"/>
    <x:col min="5" max="5" width="36" customWidth="1"/>
    <x:col min="6" max="10" width="14" customWidth="1"/>
    <x:col min="11" max="11" width="20" customWidth="1"/>
    <x:col min="12" max="12" width="18" customWidth="1"/>
    <x:col min="13" max="13" width="23" hidden="0" customWidth="1"/>
    <x:col min="14" max="14" width="12" hidden="0" customWidth="1"/>
    <x:col min="15" max="15" width="12" hidden="0" customWidth="1"/>
    <x:col min="16" max="16" width="12" hidden="0" customWidth="1"/>
    <x:col min="17" max="17" width="16" hidden="0" customWidth="1"/>
    <x:col min="18" max="18" width="16" hidden="0" customWidth="1"/>
    <x:col min="19" max="19" width="16" hidden="0" customWidth="1"/>
    <x:col min="20" max="20" width="16" hidden="0" customWidth="1"/>
    <x:col min="21" max="21" width="16" hidden="0" customWidth="1"/>
    <x:col min="22" max="22" width="19" hidden="0" customWidth="1"/>
    <x:col min="23" max="23" width="20" hidden="0" customWidth="1"/>
    <x:col min="24" max="24" width="17" hidden="0" customWidth="1"/>
    <x:col min="25" max="25" width="20" hidden="0" customWidth="1"/>
    <x:col min="26" max="26" width="13" hidden="0" customWidth="1"/>
    <x:col min="27" max="27" width="13" hidden="0" customWidth="1"/>
    <x:col min="28" max="28" width="27" hidden="0" customWidth="1"/>
    <x:col min="29" max="29" width="16" hidden="0" customWidth="1"/>
    <x:col min="30" max="30" width="20" hidden="0" customWidth="1"/>
    <x:col min="31" max="31" width="20" hidden="0" customWidth="1"/>
  </x:cols>
  <x:sheetData>
    <x:row r="1" ht="36" customHeight="1">
      <x:c r="A1" s="4" t="s">
        <x:v>563</x:v>
      </x:c>
      <x:c r="B1" s="4" t="s">
        <x:v>61</x:v>
      </x:c>
      <x:c r="C1" s="4" t="s">
        <x:v>151</x:v>
      </x:c>
      <x:c r="D1" s="4" t="s">
        <x:v>65</x:v>
      </x:c>
      <x:c r="E1" s="4" t="s">
        <x:v>152</x:v>
      </x:c>
      <x:c r="F1" s="4" t="s">
        <x:v>564</x:v>
      </x:c>
      <x:c r="G1" s="4" t="s">
        <x:v>565</x:v>
      </x:c>
      <x:c r="H1" s="4" t="s">
        <x:v>566</x:v>
      </x:c>
      <x:c r="I1" s="4" t="s">
        <x:v>567</x:v>
      </x:c>
      <x:c r="J1" s="4" t="s">
        <x:v>157</x:v>
      </x:c>
      <x:c r="K1" s="4" t="s">
        <x:v>568</x:v>
      </x:c>
      <x:c r="L1" s="4" t="s">
        <x:v>569</x:v>
      </x:c>
      <x:c r="M1" s="126" t="str">
        <x:v>ID_Departure</x:v>
      </x:c>
      <x:c r="N1" s="126" t="str">
        <x:v>adult_count</x:v>
      </x:c>
      <x:c r="O1" s="126" t="str">
        <x:v>child_count</x:v>
      </x:c>
      <x:c r="P1" s="126" t="str">
        <x:v>infant_count</x:v>
      </x:c>
      <x:c r="Q1" s="126" t="str">
        <x:v>adult_unit_price</x:v>
      </x:c>
      <x:c r="R1" s="126" t="str">
        <x:v>child_unit_price</x:v>
      </x:c>
      <x:c r="S1" s="126" t="str">
        <x:v>total_amount</x:v>
      </x:c>
      <x:c r="T1" s="126" t="str">
        <x:v>deposit_amount</x:v>
      </x:c>
      <x:c r="U1" s="126" t="str">
        <x:v>remaining_amount</x:v>
      </x:c>
      <x:c r="V1" s="126" t="str">
        <x:v>booking_type</x:v>
      </x:c>
      <x:c r="W1" s="126" t="str">
        <x:v>payment_method</x:v>
      </x:c>
      <x:c r="X1" s="126" t="str">
        <x:v>payment_status</x:v>
      </x:c>
      <x:c r="Y1" s="126" t="str">
        <x:v>hold_expires_at</x:v>
      </x:c>
      <x:c r="Z1" s="126" t="str">
        <x:v>start_date</x:v>
      </x:c>
      <x:c r="AA1" s="126" t="str">
        <x:v>end_date</x:v>
      </x:c>
      <x:c r="AB1" s="126" t="str">
        <x:v>contact_email</x:v>
      </x:c>
      <x:c r="AC1" s="126" t="str">
        <x:v>contact_phone</x:v>
      </x:c>
      <x:c r="AD1" s="126" t="str">
        <x:v>confirmed_at</x:v>
      </x:c>
      <x:c r="AE1" s="126" t="str">
        <x:v>cancelled_at</x:v>
      </x:c>
    </x:row>
    <x:row r="2" ht="15" customHeight="1">
      <x:c r="A2" s="16" t="s">
        <x:v>570</x:v>
      </x:c>
      <x:c r="B2" s="16" t="s">
        <x:v>105</x:v>
      </x:c>
      <x:c r="C2" s="16" t="s">
        <x:v>182</x:v>
      </x:c>
      <x:c r="D2" s="16" t="s">
        <x:v>108</x:v>
      </x:c>
      <x:c r="E2" s="16" t="s">
        <x:v>183</x:v>
      </x:c>
      <x:c r="F2" s="22" t="s">
        <x:v>571</x:v>
      </x:c>
      <x:c r="G2" s="24">
        <x:v>2</x:v>
      </x:c>
      <x:c r="H2" s="28">
        <x:v>1580000</x:v>
      </x:c>
      <x:c r="I2" s="16" t="s">
        <x:v>572</x:v>
      </x:c>
      <x:c r="J2" s="24">
        <x:v>1</x:v>
      </x:c>
      <x:c r="K2" s="16" t="s">
        <x:v>573</x:v>
      </x:c>
      <x:c r="L2" s="16" t="s">
        <x:v>574</x:v>
      </x:c>
      <x:c r="M2" s="127" t="str">
        <x:v>DEP-SCHDL005-01</x:v>
      </x:c>
      <x:c r="N2" s="127" t="n">
        <x:v>2</x:v>
      </x:c>
      <x:c r="O2" s="127" t="n">
        <x:v>0</x:v>
      </x:c>
      <x:c r="P2" s="127" t="n">
        <x:v>0</x:v>
      </x:c>
      <x:c r="Q2" s="128" t="n">
        <x:v>790000</x:v>
      </x:c>
      <x:c r="R2" s="128" t="n">
        <x:v>592000</x:v>
      </x:c>
      <x:c r="S2" s="128" t="n">
        <x:f>N2*Q2+O2*R2</x:f>
        <x:v>1580000</x:v>
      </x:c>
      <x:c r="T2" s="128" t="n">
        <x:f>ROUND(S2*30%,-3)</x:f>
        <x:v>474000</x:v>
      </x:c>
      <x:c r="U2" s="128" t="n">
        <x:f>S2-T2</x:f>
        <x:v>1106000</x:v>
      </x:c>
      <x:c r="V2" s="127" t="str">
        <x:v>instant_deposit</x:v>
      </x:c>
      <x:c r="W2" s="127" t="str">
        <x:v>greensteps_wallet</x:v>
      </x:c>
      <x:c r="X2" s="127" t="str">
        <x:v>paid_full</x:v>
      </x:c>
      <x:c r="Y2" s="142"/>
      <x:c r="Z2" s="141" t="n">
        <x:v>46235</x:v>
      </x:c>
      <x:c r="AA2" s="141" t="n">
        <x:v>46235</x:v>
      </x:c>
      <x:c r="AB2" s="127" t="str">
        <x:v>linh.demo@email.com</x:v>
      </x:c>
      <x:c r="AC2" s="127" t="str">
        <x:v>0912000004</x:v>
      </x:c>
      <x:c r="AD2" s="142" t="n">
        <x:v>46216.416666666664</x:v>
      </x:c>
      <x:c r="AE2" s="142"/>
    </x:row>
    <x:row r="3" ht="15" customHeight="1">
      <x:c r="A3" s="18" t="s">
        <x:v>575</x:v>
      </x:c>
      <x:c r="B3" s="18" t="s">
        <x:v>114</x:v>
      </x:c>
      <x:c r="C3" s="18" t="s">
        <x:v>164</x:v>
      </x:c>
      <x:c r="D3" s="18" t="s">
        <x:v>117</x:v>
      </x:c>
      <x:c r="E3" s="18" t="s">
        <x:v>165</x:v>
      </x:c>
      <x:c r="F3" s="23" t="s">
        <x:v>576</x:v>
      </x:c>
      <x:c r="G3" s="25">
        <x:v>3</x:v>
      </x:c>
      <x:c r="H3" s="29">
        <x:v>7470000</x:v>
      </x:c>
      <x:c r="I3" s="18" t="s">
        <x:v>577</x:v>
      </x:c>
      <x:c r="J3" s="25">
        <x:v>0</x:v>
      </x:c>
      <x:c r="K3" s="18" t="s">
        <x:v>578</x:v>
      </x:c>
      <x:c r="L3" s="18" t="s">
        <x:v>579</x:v>
      </x:c>
      <x:c r="M3" s="127" t="str">
        <x:v>DEP-SCHPY001-01</x:v>
      </x:c>
      <x:c r="N3" s="127" t="n">
        <x:v>2</x:v>
      </x:c>
      <x:c r="O3" s="127" t="n">
        <x:v>1</x:v>
      </x:c>
      <x:c r="P3" s="127" t="n">
        <x:v>0</x:v>
      </x:c>
      <x:c r="Q3" s="128" t="n">
        <x:v>2490000</x:v>
      </x:c>
      <x:c r="R3" s="128" t="n">
        <x:v>1868000</x:v>
      </x:c>
      <x:c r="S3" s="128" t="n">
        <x:f>N3*Q3+O3*R3</x:f>
        <x:v>6848000</x:v>
      </x:c>
      <x:c r="T3" s="128" t="n">
        <x:f>ROUND(S3*30%,-3)</x:f>
        <x:v>2054000</x:v>
      </x:c>
      <x:c r="U3" s="128" t="n">
        <x:f>S3-T3</x:f>
        <x:v>4794000</x:v>
      </x:c>
      <x:c r="V3" s="127" t="str">
        <x:v>instant_deposit</x:v>
      </x:c>
      <x:c r="W3" s="127" t="str">
        <x:v>card</x:v>
      </x:c>
      <x:c r="X3" s="127" t="str">
        <x:v>deposit_paid</x:v>
      </x:c>
      <x:c r="Y3" s="142"/>
      <x:c r="Z3" s="141" t="n">
        <x:v>46238</x:v>
      </x:c>
      <x:c r="AA3" s="141" t="n">
        <x:v>46239</x:v>
      </x:c>
      <x:c r="AB3" s="127" t="str">
        <x:v>minh.demo@email.com</x:v>
      </x:c>
      <x:c r="AC3" s="127" t="str">
        <x:v>0912000005</x:v>
      </x:c>
      <x:c r="AD3" s="142" t="n">
        <x:v>46216.5</x:v>
      </x:c>
      <x:c r="AE3" s="142"/>
    </x:row>
    <x:row r="4" ht="15" customHeight="1">
      <x:c r="A4" s="16" t="s">
        <x:v>580</x:v>
      </x:c>
      <x:c r="B4" s="16" t="s">
        <x:v>123</x:v>
      </x:c>
      <x:c r="C4" s="16" t="s">
        <x:v>200</x:v>
      </x:c>
      <x:c r="D4" s="16" t="s">
        <x:v>126</x:v>
      </x:c>
      <x:c r="E4" s="16" t="s">
        <x:v>201</x:v>
      </x:c>
      <x:c r="F4" s="22" t="s">
        <x:v>581</x:v>
      </x:c>
      <x:c r="G4" s="24">
        <x:v>2</x:v>
      </x:c>
      <x:c r="H4" s="28">
        <x:v>6580000</x:v>
      </x:c>
      <x:c r="I4" s="16" t="s">
        <x:v>582</x:v>
      </x:c>
      <x:c r="J4" s="24">
        <x:v>0</x:v>
      </x:c>
      <x:c r="K4" s="16" t="s">
        <x:v>583</x:v>
      </x:c>
      <x:c r="L4" s="16" t="s">
        <x:v>579</x:v>
      </x:c>
      <x:c r="M4" s="127" t="str">
        <x:v>DEP-SCHHA011-01</x:v>
      </x:c>
      <x:c r="N4" s="127" t="n">
        <x:v>2</x:v>
      </x:c>
      <x:c r="O4" s="127" t="n">
        <x:v>0</x:v>
      </x:c>
      <x:c r="P4" s="127" t="n">
        <x:v>0</x:v>
      </x:c>
      <x:c r="Q4" s="128" t="n">
        <x:v>3290000</x:v>
      </x:c>
      <x:c r="R4" s="128" t="n">
        <x:v>2468000</x:v>
      </x:c>
      <x:c r="S4" s="128" t="n">
        <x:f>N4*Q4+O4*R4</x:f>
        <x:v>6580000</x:v>
      </x:c>
      <x:c r="T4" s="128" t="n">
        <x:f>ROUND(S4*30%,-3)</x:f>
        <x:v>1974000</x:v>
      </x:c>
      <x:c r="U4" s="128" t="n">
        <x:f>S4-T4</x:f>
        <x:v>4606000</x:v>
      </x:c>
      <x:c r="V4" s="127" t="str">
        <x:v>temporary_hold</x:v>
      </x:c>
      <x:c r="W4" s="127" t="str">
        <x:v>qr_payment</x:v>
      </x:c>
      <x:c r="X4" s="127" t="str">
        <x:v>unpaid</x:v>
      </x:c>
      <x:c r="Y4" s="142" t="n">
        <x:v>46215.916666666664</x:v>
      </x:c>
      <x:c r="Z4" s="141" t="n">
        <x:v>46243</x:v>
      </x:c>
      <x:c r="AA4" s="141" t="n">
        <x:v>46244</x:v>
      </x:c>
      <x:c r="AB4" s="127" t="str">
        <x:v>annhien.demo@email.com</x:v>
      </x:c>
      <x:c r="AC4" s="127" t="str">
        <x:v>0912000006</x:v>
      </x:c>
      <x:c r="AD4" s="142"/>
      <x:c r="AE4" s="142"/>
    </x:row>
    <x:row r="5" ht="15" customHeight="1">
      <x:c r="A5" s="18" t="s">
        <x:v>584</x:v>
      </x:c>
      <x:c r="B5" s="18" t="s">
        <x:v>105</x:v>
      </x:c>
      <x:c r="C5" s="18" t="s">
        <x:v>197</x:v>
      </x:c>
      <x:c r="D5" s="18" t="s">
        <x:v>108</x:v>
      </x:c>
      <x:c r="E5" s="18" t="s">
        <x:v>198</x:v>
      </x:c>
      <x:c r="F5" s="23" t="s">
        <x:v>585</x:v>
      </x:c>
      <x:c r="G5" s="25">
        <x:v>4</x:v>
      </x:c>
      <x:c r="H5" s="29">
        <x:v>6360000</x:v>
      </x:c>
      <x:c r="I5" s="18" t="s">
        <x:v>572</x:v>
      </x:c>
      <x:c r="J5" s="25">
        <x:v>1</x:v>
      </x:c>
      <x:c r="K5" s="18" t="s">
        <x:v>586</x:v>
      </x:c>
      <x:c r="L5" s="18" t="s">
        <x:v>574</x:v>
      </x:c>
      <x:c r="M5" s="127" t="str">
        <x:v>DEP-SCHDN010-01</x:v>
      </x:c>
      <x:c r="N5" s="127" t="n">
        <x:v>3</x:v>
      </x:c>
      <x:c r="O5" s="127" t="n">
        <x:v>1</x:v>
      </x:c>
      <x:c r="P5" s="127" t="n">
        <x:v>0</x:v>
      </x:c>
      <x:c r="Q5" s="128" t="n">
        <x:v>1590000</x:v>
      </x:c>
      <x:c r="R5" s="128" t="n">
        <x:v>1192000</x:v>
      </x:c>
      <x:c r="S5" s="128" t="n">
        <x:f>N5*Q5+O5*R5</x:f>
        <x:v>5962000</x:v>
      </x:c>
      <x:c r="T5" s="128" t="n">
        <x:f>ROUND(S5*30%,-3)</x:f>
        <x:v>1789000</x:v>
      </x:c>
      <x:c r="U5" s="128" t="n">
        <x:f>S5-T5</x:f>
        <x:v>4173000</x:v>
      </x:c>
      <x:c r="V5" s="127" t="str">
        <x:v>instant_deposit</x:v>
      </x:c>
      <x:c r="W5" s="127" t="str">
        <x:v>greensteps_wallet</x:v>
      </x:c>
      <x:c r="X5" s="127" t="str">
        <x:v>paid_full</x:v>
      </x:c>
      <x:c r="Y5" s="142"/>
      <x:c r="Z5" s="141" t="n">
        <x:v>46249</x:v>
      </x:c>
      <x:c r="AA5" s="141" t="n">
        <x:v>46249</x:v>
      </x:c>
      <x:c r="AB5" s="127" t="str">
        <x:v>linh.demo@email.com</x:v>
      </x:c>
      <x:c r="AC5" s="127" t="str">
        <x:v>0912000004</x:v>
      </x:c>
      <x:c r="AD5" s="142" t="n">
        <x:v>46216.541666666664</x:v>
      </x:c>
      <x:c r="AE5" s="142"/>
    </x:row>
    <x:row r="6" ht="15" customHeight="1">
      <x:c r="A6" s="16" t="s">
        <x:v>587</x:v>
      </x:c>
      <x:c r="B6" s="16" t="s">
        <x:v>114</x:v>
      </x:c>
      <x:c r="C6" s="16" t="s">
        <x:v>179</x:v>
      </x:c>
      <x:c r="D6" s="16" t="s">
        <x:v>117</x:v>
      </x:c>
      <x:c r="E6" s="16" t="s">
        <x:v>180</x:v>
      </x:c>
      <x:c r="F6" s="22" t="s">
        <x:v>588</x:v>
      </x:c>
      <x:c r="G6" s="24">
        <x:v>2</x:v>
      </x:c>
      <x:c r="H6" s="28">
        <x:v>9180000</x:v>
      </x:c>
      <x:c r="I6" s="16" t="s">
        <x:v>577</x:v>
      </x:c>
      <x:c r="J6" s="24">
        <x:v>0</x:v>
      </x:c>
      <x:c r="K6" s="16" t="s">
        <x:v>589</x:v>
      </x:c>
      <x:c r="L6" s="16" t="s">
        <x:v>579</x:v>
      </x:c>
      <x:c r="M6" s="127" t="str">
        <x:v>DEP-SCHPY004-01</x:v>
      </x:c>
      <x:c r="N6" s="127" t="n">
        <x:v>2</x:v>
      </x:c>
      <x:c r="O6" s="127" t="n">
        <x:v>0</x:v>
      </x:c>
      <x:c r="P6" s="127" t="n">
        <x:v>0</x:v>
      </x:c>
      <x:c r="Q6" s="128" t="n">
        <x:v>4590000</x:v>
      </x:c>
      <x:c r="R6" s="128" t="n">
        <x:v>3442000</x:v>
      </x:c>
      <x:c r="S6" s="128" t="n">
        <x:f>N6*Q6+O6*R6</x:f>
        <x:v>9180000</x:v>
      </x:c>
      <x:c r="T6" s="128" t="n">
        <x:f>ROUND(S6*30%,-3)</x:f>
        <x:v>2754000</x:v>
      </x:c>
      <x:c r="U6" s="128" t="n">
        <x:f>S6-T6</x:f>
        <x:v>6426000</x:v>
      </x:c>
      <x:c r="V6" s="127" t="str">
        <x:v>instant_deposit</x:v>
      </x:c>
      <x:c r="W6" s="127" t="str">
        <x:v>card</x:v>
      </x:c>
      <x:c r="X6" s="127" t="str">
        <x:v>deposit_paid</x:v>
      </x:c>
      <x:c r="Y6" s="142"/>
      <x:c r="Z6" s="141" t="n">
        <x:v>46252</x:v>
      </x:c>
      <x:c r="AA6" s="141" t="n">
        <x:v>46254</x:v>
      </x:c>
      <x:c r="AB6" s="127" t="str">
        <x:v>minh.demo@email.com</x:v>
      </x:c>
      <x:c r="AC6" s="127" t="str">
        <x:v>0912000005</x:v>
      </x:c>
      <x:c r="AD6" s="142" t="n">
        <x:v>46216.625</x:v>
      </x:c>
      <x:c r="AE6" s="142"/>
    </x:row>
    <x:row r="7" ht="15" customHeight="1">
      <x:c r="A7" s="18" t="s">
        <x:v>590</x:v>
      </x:c>
      <x:c r="B7" s="18" t="s">
        <x:v>123</x:v>
      </x:c>
      <x:c r="C7" s="18" t="s">
        <x:v>188</x:v>
      </x:c>
      <x:c r="D7" s="18" t="s">
        <x:v>126</x:v>
      </x:c>
      <x:c r="E7" s="18" t="s">
        <x:v>189</x:v>
      </x:c>
      <x:c r="F7" s="23" t="s">
        <x:v>591</x:v>
      </x:c>
      <x:c r="G7" s="25">
        <x:v>2</x:v>
      </x:c>
      <x:c r="H7" s="29">
        <x:v>5580000</x:v>
      </x:c>
      <x:c r="I7" s="18" t="s">
        <x:v>572</x:v>
      </x:c>
      <x:c r="J7" s="25">
        <x:v>1</x:v>
      </x:c>
      <x:c r="K7" s="18" t="s">
        <x:v>592</x:v>
      </x:c>
      <x:c r="L7" s="18" t="s">
        <x:v>574</x:v>
      </x:c>
      <x:c r="M7" s="127" t="str">
        <x:v>DEP-SCHDL007-01</x:v>
      </x:c>
      <x:c r="N7" s="127" t="n">
        <x:v>2</x:v>
      </x:c>
      <x:c r="O7" s="127" t="n">
        <x:v>0</x:v>
      </x:c>
      <x:c r="P7" s="127" t="n">
        <x:v>0</x:v>
      </x:c>
      <x:c r="Q7" s="128" t="n">
        <x:v>2790000</x:v>
      </x:c>
      <x:c r="R7" s="128" t="n">
        <x:v>2092000</x:v>
      </x:c>
      <x:c r="S7" s="128" t="n">
        <x:f>N7*Q7+O7*R7</x:f>
        <x:v>5580000</x:v>
      </x:c>
      <x:c r="T7" s="128" t="n">
        <x:f>ROUND(S7*30%,-3)</x:f>
        <x:v>1674000</x:v>
      </x:c>
      <x:c r="U7" s="128" t="n">
        <x:f>S7-T7</x:f>
        <x:v>3906000</x:v>
      </x:c>
      <x:c r="V7" s="127" t="str">
        <x:v>instant_deposit</x:v>
      </x:c>
      <x:c r="W7" s="127" t="str">
        <x:v>qr_payment</x:v>
      </x:c>
      <x:c r="X7" s="127" t="str">
        <x:v>paid_full</x:v>
      </x:c>
      <x:c r="Y7" s="142"/>
      <x:c r="Z7" s="141" t="n">
        <x:v>46255</x:v>
      </x:c>
      <x:c r="AA7" s="141" t="n">
        <x:v>46256</x:v>
      </x:c>
      <x:c r="AB7" s="127" t="str">
        <x:v>annhien.demo@email.com</x:v>
      </x:c>
      <x:c r="AC7" s="127" t="str">
        <x:v>0912000006</x:v>
      </x:c>
      <x:c r="AD7" s="142" t="n">
        <x:v>46216.625</x:v>
      </x:c>
      <x:c r="AE7" s="142"/>
    </x:row>
    <x:row r="8" ht="15" customHeight="1">
      <x:c r="A8" s="16" t="s">
        <x:v>593</x:v>
      </x:c>
      <x:c r="B8" s="16" t="s">
        <x:v>105</x:v>
      </x:c>
      <x:c r="C8" s="16" t="s">
        <x:v>194</x:v>
      </x:c>
      <x:c r="D8" s="16" t="s">
        <x:v>108</x:v>
      </x:c>
      <x:c r="E8" s="16" t="s">
        <x:v>195</x:v>
      </x:c>
      <x:c r="F8" s="22" t="s">
        <x:v>594</x:v>
      </x:c>
      <x:c r="G8" s="24">
        <x:v>3</x:v>
      </x:c>
      <x:c r="H8" s="28">
        <x:v>8970000</x:v>
      </x:c>
      <x:c r="I8" s="16" t="s">
        <x:v>577</x:v>
      </x:c>
      <x:c r="J8" s="24">
        <x:v>0</x:v>
      </x:c>
      <x:c r="K8" s="16" t="s">
        <x:v>595</x:v>
      </x:c>
      <x:c r="L8" s="16" t="s">
        <x:v>579</x:v>
      </x:c>
      <x:c r="M8" s="127" t="str">
        <x:v>DEP-SCHDN009-01</x:v>
      </x:c>
      <x:c r="N8" s="127" t="n">
        <x:v>2</x:v>
      </x:c>
      <x:c r="O8" s="127" t="n">
        <x:v>1</x:v>
      </x:c>
      <x:c r="P8" s="127" t="n">
        <x:v>0</x:v>
      </x:c>
      <x:c r="Q8" s="128" t="n">
        <x:v>2990000</x:v>
      </x:c>
      <x:c r="R8" s="128" t="n">
        <x:v>2242000</x:v>
      </x:c>
      <x:c r="S8" s="128" t="n">
        <x:f>N8*Q8+O8*R8</x:f>
        <x:v>8222000</x:v>
      </x:c>
      <x:c r="T8" s="128" t="n">
        <x:f>ROUND(S8*30%,-3)</x:f>
        <x:v>2467000</x:v>
      </x:c>
      <x:c r="U8" s="128" t="n">
        <x:f>S8-T8</x:f>
        <x:v>5755000</x:v>
      </x:c>
      <x:c r="V8" s="127" t="str">
        <x:v>instant_deposit</x:v>
      </x:c>
      <x:c r="W8" s="127" t="str">
        <x:v>greensteps_wallet</x:v>
      </x:c>
      <x:c r="X8" s="127" t="str">
        <x:v>deposit_paid</x:v>
      </x:c>
      <x:c r="Y8" s="142"/>
      <x:c r="Z8" s="141" t="n">
        <x:v>46259</x:v>
      </x:c>
      <x:c r="AA8" s="141" t="n">
        <x:v>46260</x:v>
      </x:c>
      <x:c r="AB8" s="127" t="str">
        <x:v>linh.demo@email.com</x:v>
      </x:c>
      <x:c r="AC8" s="127" t="str">
        <x:v>0912000004</x:v>
      </x:c>
      <x:c r="AD8" s="142" t="n">
        <x:v>46216.708333333336</x:v>
      </x:c>
      <x:c r="AE8" s="142"/>
    </x:row>
    <x:row r="9" ht="15" customHeight="1">
      <x:c r="A9" s="18" t="s">
        <x:v>596</x:v>
      </x:c>
      <x:c r="B9" s="18" t="s">
        <x:v>114</x:v>
      </x:c>
      <x:c r="C9" s="18" t="s">
        <x:v>173</x:v>
      </x:c>
      <x:c r="D9" s="18" t="s">
        <x:v>117</x:v>
      </x:c>
      <x:c r="E9" s="18" t="s">
        <x:v>174</x:v>
      </x:c>
      <x:c r="F9" s="23" t="s">
        <x:v>597</x:v>
      </x:c>
      <x:c r="G9" s="25">
        <x:v>2</x:v>
      </x:c>
      <x:c r="H9" s="29">
        <x:v>5380000</x:v>
      </x:c>
      <x:c r="I9" s="18" t="s">
        <x:v>582</x:v>
      </x:c>
      <x:c r="J9" s="25">
        <x:v>0</x:v>
      </x:c>
      <x:c r="K9" s="18" t="s">
        <x:v>598</x:v>
      </x:c>
      <x:c r="L9" s="18" t="s">
        <x:v>579</x:v>
      </x:c>
      <x:c r="M9" s="127" t="str">
        <x:v>DEP-SCHPY002-01</x:v>
      </x:c>
      <x:c r="N9" s="127" t="n">
        <x:v>2</x:v>
      </x:c>
      <x:c r="O9" s="127" t="n">
        <x:v>0</x:v>
      </x:c>
      <x:c r="P9" s="127" t="n">
        <x:v>0</x:v>
      </x:c>
      <x:c r="Q9" s="128" t="n">
        <x:v>2690000</x:v>
      </x:c>
      <x:c r="R9" s="128" t="n">
        <x:v>2018000</x:v>
      </x:c>
      <x:c r="S9" s="128" t="n">
        <x:f>N9*Q9+O9*R9</x:f>
        <x:v>5380000</x:v>
      </x:c>
      <x:c r="T9" s="128" t="n">
        <x:f>ROUND(S9*30%,-3)</x:f>
        <x:v>1614000</x:v>
      </x:c>
      <x:c r="U9" s="128" t="n">
        <x:f>S9-T9</x:f>
        <x:v>3766000</x:v>
      </x:c>
      <x:c r="V9" s="127" t="str">
        <x:v>temporary_hold</x:v>
      </x:c>
      <x:c r="W9" s="127" t="str">
        <x:v>card</x:v>
      </x:c>
      <x:c r="X9" s="127" t="str">
        <x:v>unpaid</x:v>
      </x:c>
      <x:c r="Y9" s="142" t="n">
        <x:v>46215.833333333336</x:v>
      </x:c>
      <x:c r="Z9" s="141" t="n">
        <x:v>46262</x:v>
      </x:c>
      <x:c r="AA9" s="141" t="n">
        <x:v>46263</x:v>
      </x:c>
      <x:c r="AB9" s="127" t="str">
        <x:v>minh.demo@email.com</x:v>
      </x:c>
      <x:c r="AC9" s="127" t="str">
        <x:v>0912000005</x:v>
      </x:c>
      <x:c r="AD9" s="142"/>
      <x:c r="AE9" s="142"/>
    </x:row>
    <x:row r="10" ht="15" customHeight="1">
      <x:c r="A10" s="16" t="s">
        <x:v>599</x:v>
      </x:c>
      <x:c r="B10" s="16" t="s">
        <x:v>123</x:v>
      </x:c>
      <x:c r="C10" s="16" t="s">
        <x:v>185</x:v>
      </x:c>
      <x:c r="D10" s="16" t="s">
        <x:v>126</x:v>
      </x:c>
      <x:c r="E10" s="16" t="s">
        <x:v>186</x:v>
      </x:c>
      <x:c r="F10" s="22" t="s">
        <x:v>600</x:v>
      </x:c>
      <x:c r="G10" s="24">
        <x:v>2</x:v>
      </x:c>
      <x:c r="H10" s="28">
        <x:v>5180000</x:v>
      </x:c>
      <x:c r="I10" s="16" t="s">
        <x:v>572</x:v>
      </x:c>
      <x:c r="J10" s="24">
        <x:v>1</x:v>
      </x:c>
      <x:c r="K10" s="16" t="s">
        <x:v>601</x:v>
      </x:c>
      <x:c r="L10" s="16" t="s">
        <x:v>574</x:v>
      </x:c>
      <x:c r="M10" s="127" t="str">
        <x:v>DEP-SCHDL006-01</x:v>
      </x:c>
      <x:c r="N10" s="127" t="n">
        <x:v>2</x:v>
      </x:c>
      <x:c r="O10" s="127" t="n">
        <x:v>0</x:v>
      </x:c>
      <x:c r="P10" s="127" t="n">
        <x:v>0</x:v>
      </x:c>
      <x:c r="Q10" s="128" t="n">
        <x:v>2590000</x:v>
      </x:c>
      <x:c r="R10" s="128" t="n">
        <x:v>1942000</x:v>
      </x:c>
      <x:c r="S10" s="128" t="n">
        <x:f>N10*Q10+O10*R10</x:f>
        <x:v>5180000</x:v>
      </x:c>
      <x:c r="T10" s="128" t="n">
        <x:f>ROUND(S10*30%,-3)</x:f>
        <x:v>1554000</x:v>
      </x:c>
      <x:c r="U10" s="128" t="n">
        <x:f>S10-T10</x:f>
        <x:v>3626000</x:v>
      </x:c>
      <x:c r="V10" s="127" t="str">
        <x:v>instant_deposit</x:v>
      </x:c>
      <x:c r="W10" s="127" t="str">
        <x:v>qr_payment</x:v>
      </x:c>
      <x:c r="X10" s="127" t="str">
        <x:v>paid_full</x:v>
      </x:c>
      <x:c r="Y10" s="142"/>
      <x:c r="Z10" s="141" t="n">
        <x:v>46267</x:v>
      </x:c>
      <x:c r="AA10" s="141" t="n">
        <x:v>46268</x:v>
      </x:c>
      <x:c r="AB10" s="127" t="str">
        <x:v>annhien.demo@email.com</x:v>
      </x:c>
      <x:c r="AC10" s="127" t="str">
        <x:v>0912000006</x:v>
      </x:c>
      <x:c r="AD10" s="142" t="n">
        <x:v>46216.75</x:v>
      </x:c>
      <x:c r="AE10" s="142"/>
    </x:row>
    <x:row r="11" ht="15" customHeight="1">
      <x:c r="A11" s="18" t="s">
        <x:v>602</x:v>
      </x:c>
      <x:c r="B11" s="18" t="s">
        <x:v>105</x:v>
      </x:c>
      <x:c r="C11" s="18" t="s">
        <x:v>203</x:v>
      </x:c>
      <x:c r="D11" s="18" t="s">
        <x:v>108</x:v>
      </x:c>
      <x:c r="E11" s="18" t="s">
        <x:v>204</x:v>
      </x:c>
      <x:c r="F11" s="23" t="s">
        <x:v>603</x:v>
      </x:c>
      <x:c r="G11" s="25">
        <x:v>2</x:v>
      </x:c>
      <x:c r="H11" s="29">
        <x:v>11580000</x:v>
      </x:c>
      <x:c r="I11" s="18" t="s">
        <x:v>577</x:v>
      </x:c>
      <x:c r="J11" s="25">
        <x:v>0</x:v>
      </x:c>
      <x:c r="K11" s="18" t="s">
        <x:v>604</x:v>
      </x:c>
      <x:c r="L11" s="18" t="s">
        <x:v>579</x:v>
      </x:c>
      <x:c r="M11" s="127" t="str">
        <x:v>DEP-SCHHA012-01</x:v>
      </x:c>
      <x:c r="N11" s="127" t="n">
        <x:v>2</x:v>
      </x:c>
      <x:c r="O11" s="127" t="n">
        <x:v>0</x:v>
      </x:c>
      <x:c r="P11" s="127" t="n">
        <x:v>0</x:v>
      </x:c>
      <x:c r="Q11" s="128" t="n">
        <x:v>5790000</x:v>
      </x:c>
      <x:c r="R11" s="128" t="n">
        <x:v>4342000</x:v>
      </x:c>
      <x:c r="S11" s="128" t="n">
        <x:f>N11*Q11+O11*R11</x:f>
        <x:v>11580000</x:v>
      </x:c>
      <x:c r="T11" s="128" t="n">
        <x:f>ROUND(S11*30%,-3)</x:f>
        <x:v>3474000</x:v>
      </x:c>
      <x:c r="U11" s="128" t="n">
        <x:f>S11-T11</x:f>
        <x:v>8106000</x:v>
      </x:c>
      <x:c r="V11" s="127" t="str">
        <x:v>instant_deposit</x:v>
      </x:c>
      <x:c r="W11" s="127" t="str">
        <x:v>greensteps_wallet</x:v>
      </x:c>
      <x:c r="X11" s="127" t="str">
        <x:v>deposit_paid</x:v>
      </x:c>
      <x:c r="Y11" s="142"/>
      <x:c r="Z11" s="141" t="n">
        <x:v>46271</x:v>
      </x:c>
      <x:c r="AA11" s="141" t="n">
        <x:v>46273</x:v>
      </x:c>
      <x:c r="AB11" s="127" t="str">
        <x:v>linh.demo@email.com</x:v>
      </x:c>
      <x:c r="AC11" s="127" t="str">
        <x:v>0912000004</x:v>
      </x:c>
      <x:c r="AD11" s="142" t="n">
        <x:v>46216.833333333336</x:v>
      </x:c>
      <x:c r="AE11" s="142"/>
    </x:row>
    <x:row r="12" ht="15" customHeight="1">
      <x:c r="A12" s="16" t="s">
        <x:v>605</x:v>
      </x:c>
      <x:c r="B12" s="16" t="s">
        <x:v>114</x:v>
      </x:c>
      <x:c r="C12" s="16" t="s">
        <x:v>176</x:v>
      </x:c>
      <x:c r="D12" s="16" t="s">
        <x:v>117</x:v>
      </x:c>
      <x:c r="E12" s="16" t="s">
        <x:v>177</x:v>
      </x:c>
      <x:c r="F12" s="22" t="s">
        <x:v>606</x:v>
      </x:c>
      <x:c r="G12" s="24">
        <x:v>2</x:v>
      </x:c>
      <x:c r="H12" s="28">
        <x:v>1780000</x:v>
      </x:c>
      <x:c r="I12" s="16" t="s">
        <x:v>572</x:v>
      </x:c>
      <x:c r="J12" s="24">
        <x:v>1</x:v>
      </x:c>
      <x:c r="K12" s="16" t="s">
        <x:v>607</x:v>
      </x:c>
      <x:c r="L12" s="16" t="s">
        <x:v>574</x:v>
      </x:c>
      <x:c r="M12" s="127" t="str">
        <x:v>DEP-SCHPY003-01</x:v>
      </x:c>
      <x:c r="N12" s="127" t="n">
        <x:v>2</x:v>
      </x:c>
      <x:c r="O12" s="127" t="n">
        <x:v>0</x:v>
      </x:c>
      <x:c r="P12" s="127" t="n">
        <x:v>0</x:v>
      </x:c>
      <x:c r="Q12" s="128" t="n">
        <x:v>890000</x:v>
      </x:c>
      <x:c r="R12" s="128" t="n">
        <x:v>668000</x:v>
      </x:c>
      <x:c r="S12" s="128" t="n">
        <x:f>N12*Q12+O12*R12</x:f>
        <x:v>1780000</x:v>
      </x:c>
      <x:c r="T12" s="128" t="n">
        <x:f>ROUND(S12*30%,-3)</x:f>
        <x:v>534000</x:v>
      </x:c>
      <x:c r="U12" s="128" t="n">
        <x:f>S12-T12</x:f>
        <x:v>1246000</x:v>
      </x:c>
      <x:c r="V12" s="127" t="str">
        <x:v>instant_deposit</x:v>
      </x:c>
      <x:c r="W12" s="127" t="str">
        <x:v>card</x:v>
      </x:c>
      <x:c r="X12" s="127" t="str">
        <x:v>paid_full</x:v>
      </x:c>
      <x:c r="Y12" s="142"/>
      <x:c r="Z12" s="141" t="n">
        <x:v>46275</x:v>
      </x:c>
      <x:c r="AA12" s="141" t="n">
        <x:v>46275</x:v>
      </x:c>
      <x:c r="AB12" s="127" t="str">
        <x:v>minh.demo@email.com</x:v>
      </x:c>
      <x:c r="AC12" s="127" t="str">
        <x:v>0912000005</x:v>
      </x:c>
      <x:c r="AD12" s="142" t="n">
        <x:v>46216.833333333336</x:v>
      </x:c>
      <x:c r="AE12" s="142"/>
    </x:row>
    <x:row r="13" ht="15" customHeight="1">
      <x:c r="A13" s="18" t="s">
        <x:v>608</x:v>
      </x:c>
      <x:c r="B13" s="18" t="s">
        <x:v>123</x:v>
      </x:c>
      <x:c r="C13" s="18" t="s">
        <x:v>191</x:v>
      </x:c>
      <x:c r="D13" s="18" t="s">
        <x:v>126</x:v>
      </x:c>
      <x:c r="E13" s="18" t="s">
        <x:v>192</x:v>
      </x:c>
      <x:c r="F13" s="23" t="s">
        <x:v>609</x:v>
      </x:c>
      <x:c r="G13" s="25">
        <x:v>4</x:v>
      </x:c>
      <x:c r="H13" s="29">
        <x:v>9960000</x:v>
      </x:c>
      <x:c r="I13" s="18" t="s">
        <x:v>582</x:v>
      </x:c>
      <x:c r="J13" s="25">
        <x:v>0</x:v>
      </x:c>
      <x:c r="K13" s="18" t="s">
        <x:v>610</x:v>
      </x:c>
      <x:c r="L13" s="18" t="s">
        <x:v>579</x:v>
      </x:c>
      <x:c r="M13" s="127" t="str">
        <x:v>DEP-SCHDL008-01</x:v>
      </x:c>
      <x:c r="N13" s="127" t="n">
        <x:v>3</x:v>
      </x:c>
      <x:c r="O13" s="127" t="n">
        <x:v>1</x:v>
      </x:c>
      <x:c r="P13" s="127" t="n">
        <x:v>0</x:v>
      </x:c>
      <x:c r="Q13" s="128" t="n">
        <x:v>2490000</x:v>
      </x:c>
      <x:c r="R13" s="128" t="n">
        <x:v>1868000</x:v>
      </x:c>
      <x:c r="S13" s="128" t="n">
        <x:f>N13*Q13+O13*R13</x:f>
        <x:v>9338000</x:v>
      </x:c>
      <x:c r="T13" s="128" t="n">
        <x:f>ROUND(S13*30%,-3)</x:f>
        <x:v>2801000</x:v>
      </x:c>
      <x:c r="U13" s="128" t="n">
        <x:f>S13-T13</x:f>
        <x:v>6537000</x:v>
      </x:c>
      <x:c r="V13" s="127" t="str">
        <x:v>temporary_hold</x:v>
      </x:c>
      <x:c r="W13" s="127" t="str">
        <x:v>qr_payment</x:v>
      </x:c>
      <x:c r="X13" s="127" t="str">
        <x:v>unpaid</x:v>
      </x:c>
      <x:c r="Y13" s="142" t="n">
        <x:v>46215.916666666664</x:v>
      </x:c>
      <x:c r="Z13" s="141" t="n">
        <x:v>46277</x:v>
      </x:c>
      <x:c r="AA13" s="141" t="n">
        <x:v>46278</x:v>
      </x:c>
      <x:c r="AB13" s="127" t="str">
        <x:v>annhien.demo@email.com</x:v>
      </x:c>
      <x:c r="AC13" s="127" t="str">
        <x:v>0912000006</x:v>
      </x:c>
      <x:c r="AD13" s="142"/>
      <x:c r="AE13" s="142"/>
    </x:row>
  </x:sheetData>
  <x:dataValidations count="5">
    <x:dataValidation type="list" sqref="I2:I13">
      <x:formula1>"pending,deposit,completed,rejected"</x:formula1>
    </x:dataValidation>
    <x:dataValidation type="list" sqref="L2:L13">
      <x:formula1>"holding,released,refunded"</x:formula1>
    </x:dataValidation>
    <x:dataValidation type="list" sqref="V2:V13">
      <x:formula1>"instant_deposit,temporary_hold"</x:formula1>
    </x:dataValidation>
    <x:dataValidation type="list" sqref="W2:W13">
      <x:formula1>"greensteps_wallet,card,qr_payment"</x:formula1>
    </x:dataValidation>
    <x:dataValidation type="list" sqref="X2:X13">
      <x:formula1>"unpaid,processing,deposit_paid,paid_full,failed,refunded"</x:formula1>
    </x:dataValidation>
  </x:dataValidations>
  <x:pageMargins left="0.7" right="0.7" top="0.75" bottom="0.75" header="0.3" footer="0.3"/>
  <x:tableParts count="1">
    <x:tablePart xmlns:r="http://schemas.openxmlformats.org/officeDocument/2006/relationships" r:id="R1268d29b6ec54dcb"/>
  </x:tableParts>
</x:worksheet>
</file>

<file path=xl/worksheets/sheet14.xml><?xml version="1.0" encoding="utf-8"?>
<x:worksheet xmlns:x="http://schemas.openxmlformats.org/spreadsheetml/2006/main">
  <x:sheetFormatPr defaultRowHeight="14.25"/>
  <x:cols>
    <x:col min="1" max="1" width="22" hidden="0" customWidth="1"/>
    <x:col min="2" max="2" width="48" hidden="0" customWidth="1"/>
    <x:col min="3" max="3" width="48" hidden="0" customWidth="1"/>
    <x:col min="4" max="4" width="32" hidden="0" customWidth="1"/>
    <x:col min="5" max="5" width="32" hidden="0" customWidth="1"/>
    <x:col min="6" max="6" width="32" hidden="0" customWidth="1"/>
    <x:col min="7" max="7" width="45" hidden="0" customWidth="1"/>
    <x:col min="9" max="9" width="48" hidden="0" customWidth="1"/>
    <x:col min="8" max="8" width="36" hidden="0" customWidth="1"/>
  </x:cols>
  <x:sheetData>
    <x:row r="1" ht="36" customHeight="1">
      <x:c r="A1" s="68" t="s">
        <x:v>611</x:v>
      </x:c>
      <x:c r="B1" s="68" t="s">
        <x:v>144</x:v>
      </x:c>
      <x:c r="C1" s="68" t="s">
        <x:v>612</x:v>
      </x:c>
      <x:c r="D1" s="68" t="s">
        <x:v>613</x:v>
      </x:c>
      <x:c r="E1" s="68" t="str">
        <x:v>image_status</x:v>
      </x:c>
      <x:c r="F1" s="68" t="str">
        <x:v>action_note</x:v>
      </x:c>
      <x:c r="G1" s="207" t="str">
        <x:v>original_image_url</x:v>
      </x:c>
      <x:c r="H1" s="207" t="str">
        <x:v>new_filename</x:v>
      </x:c>
      <x:c r="I1" s="207" t="str">
        <x:v>local_folder</x:v>
      </x:c>
    </x:row>
    <x:row r="2" ht="15" customHeight="1">
      <x:c r="A2" s="78" t="s">
        <x:v>614</x:v>
      </x:c>
      <x:c r="B2" s="78" t="str">
        <x:v>/image/tours/phu-yen-bai-da-ven-bien-01.jpg</x:v>
      </x:c>
      <x:c r="C2" s="78" t="str">
        <x:v>/image/tours/phu-yen-bai-da-ven-bien-01.jpg</x:v>
      </x:c>
      <x:c r="D2" s="78" t="str">
        <x:v>Ảnh local do người dùng cung cấp; đã chuẩn hóa tên file và đường dẫn.</x:v>
      </x:c>
      <x:c r="E2" s="82" t="str">
        <x:v>LOCAL_ASSET</x:v>
      </x:c>
      <x:c r="F2" s="82" t="str">
        <x:v>Đã chuyển từ URL online sang thư mục public/images/greensteps.</x:v>
      </x:c>
      <x:c r="G2" s="93" t="str">
        <x:v>https://i.pinimg.com/736x/60/9c/ef/609cefb4e490debd1ea140b6e21be7bc.jpg</x:v>
      </x:c>
      <x:c r="H2" s="93" t="str">
        <x:v>phu-yen-bai-da-ven-bien-01.jpg</x:v>
      </x:c>
      <x:c r="I2" s="93" t="str">
        <x:v>/image/tours/phu-yen</x:v>
      </x:c>
    </x:row>
    <x:row r="3" ht="15" customHeight="1">
      <x:c r="A3" s="80" t="s">
        <x:v>615</x:v>
      </x:c>
      <x:c r="B3" s="80" t="str">
        <x:v>/image/tours/phu-yen-canh-quan-xanh-01.jpg</x:v>
      </x:c>
      <x:c r="C3" s="80" t="str">
        <x:v>/image/tours/phu-yen-canh-quan-xanh-01.jpg</x:v>
      </x:c>
      <x:c r="D3" s="80" t="str">
        <x:v>Ảnh local do người dùng cung cấp; đã chuẩn hóa tên file và đường dẫn.</x:v>
      </x:c>
      <x:c r="E3" s="82" t="str">
        <x:v>LOCAL_ASSET</x:v>
      </x:c>
      <x:c r="F3" s="82" t="str">
        <x:v>Đã chuyển từ URL online sang thư mục public/images/greensteps.</x:v>
      </x:c>
      <x:c r="G3" s="93" t="str">
        <x:v>https://i.pinimg.com/1200x/c9/81/68/c9816838986e252b85aab71a13f07d8d.jpg</x:v>
      </x:c>
      <x:c r="H3" s="93" t="str">
        <x:v>phu-yen-canh-quan-xanh-01.jpg</x:v>
      </x:c>
      <x:c r="I3" s="93" t="str">
        <x:v>/image/tours/phu-yen</x:v>
      </x:c>
    </x:row>
    <x:row r="4" ht="15" customHeight="1">
      <x:c r="A4" s="78" t="s">
        <x:v>616</x:v>
      </x:c>
      <x:c r="B4" s="78" t="str">
        <x:v>/image/tours/phu-yen-mui-dien-bai-mon-01.jpg</x:v>
      </x:c>
      <x:c r="C4" s="78" t="str">
        <x:v>/image/tours/phu-yen-mui-dien-bai-mon-01.jpg</x:v>
      </x:c>
      <x:c r="D4" s="78" t="str">
        <x:v>Ảnh local do người dùng cung cấp; đã chuẩn hóa tên file và đường dẫn.</x:v>
      </x:c>
      <x:c r="E4" s="82" t="str">
        <x:v>LOCAL_ASSET</x:v>
      </x:c>
      <x:c r="F4" s="82" t="str">
        <x:v>Đã chuyển từ URL online sang thư mục public/images/greensteps.</x:v>
      </x:c>
      <x:c r="G4" s="93" t="str">
        <x:v>https://i.pinimg.com/1200x/a4/54/5a/a4545a58170747ef18d15a28d465bc13.jpg</x:v>
      </x:c>
      <x:c r="H4" s="93" t="str">
        <x:v>phu-yen-mui-dien-bai-mon-01.jpg</x:v>
      </x:c>
      <x:c r="I4" s="93" t="str">
        <x:v>/image/tours/phu-yen</x:v>
      </x:c>
    </x:row>
    <x:row r="5" ht="15" customHeight="1">
      <x:c r="A5" s="80" t="s">
        <x:v>617</x:v>
      </x:c>
      <x:c r="B5" s="80" t="str">
        <x:v>/image/tours/phu-yen-bai-xep-checkin-01.jpg</x:v>
      </x:c>
      <x:c r="C5" s="80" t="str">
        <x:v>/image/tours/phu-yen-bai-xep-checkin-01.jpg</x:v>
      </x:c>
      <x:c r="D5" s="80" t="str">
        <x:v>Ảnh local do người dùng cung cấp; đã chuẩn hóa tên file và đường dẫn.</x:v>
      </x:c>
      <x:c r="E5" s="82" t="str">
        <x:v>LOCAL_ASSET</x:v>
      </x:c>
      <x:c r="F5" s="82" t="str">
        <x:v>Đã chuyển từ URL online sang thư mục public/images/greensteps.</x:v>
      </x:c>
      <x:c r="G5" s="93" t="str">
        <x:v>https://i.pinimg.com/1200x/9b/43/5f/9b435f463cb84aa6065b3c0c44eec4cc.jpg</x:v>
      </x:c>
      <x:c r="H5" s="93" t="str">
        <x:v>phu-yen-bai-xep-checkin-01.jpg</x:v>
      </x:c>
      <x:c r="I5" s="93" t="str">
        <x:v>/image/tours/phu-yen</x:v>
      </x:c>
    </x:row>
    <x:row r="6" ht="15" customHeight="1">
      <x:c r="A6" s="78" t="s">
        <x:v>618</x:v>
      </x:c>
      <x:c r="B6" s="78" t="str">
        <x:v>/image/tours/phu-yen-bien-trong-01.jpg</x:v>
      </x:c>
      <x:c r="C6" s="78" t="str">
        <x:v>/image/tours/phu-yen-bien-trong-01.jpg</x:v>
      </x:c>
      <x:c r="D6" s="78" t="str">
        <x:v>Ảnh local do người dùng cung cấp; đã chuẩn hóa tên file và đường dẫn.</x:v>
      </x:c>
      <x:c r="E6" s="82" t="str">
        <x:v>LOCAL_ASSET</x:v>
      </x:c>
      <x:c r="F6" s="82" t="str">
        <x:v>Đã chuyển từ URL online sang thư mục public/images/greensteps.</x:v>
      </x:c>
      <x:c r="G6" s="93" t="str">
        <x:v>https://i.pinimg.com/736x/3f/87/0e/3f870eb589c0b29dd95402a8acf8cf25.jpg</x:v>
      </x:c>
      <x:c r="H6" s="93" t="str">
        <x:v>phu-yen-bien-trong-01.jpg</x:v>
      </x:c>
      <x:c r="I6" s="93" t="str">
        <x:v>/image/tours/phu-yen</x:v>
      </x:c>
    </x:row>
    <x:row r="7" ht="15" customHeight="1">
      <x:c r="A7" s="80" t="s">
        <x:v>619</x:v>
      </x:c>
      <x:c r="B7" s="80" t="str">
        <x:v>/image/tours/da-lat-ho-xuan-huong-01.jpg</x:v>
      </x:c>
      <x:c r="C7" s="80" t="str">
        <x:v>/image/tours/da-lat-ho-xuan-huong-01.jpg</x:v>
      </x:c>
      <x:c r="D7" s="80" t="str">
        <x:v>Ảnh local do người dùng cung cấp; đã chuẩn hóa tên file và đường dẫn.</x:v>
      </x:c>
      <x:c r="E7" s="82" t="str">
        <x:v>LOCAL_ASSET</x:v>
      </x:c>
      <x:c r="F7" s="82" t="str">
        <x:v>Đã chuyển từ URL online sang thư mục public/images/greensteps.</x:v>
      </x:c>
      <x:c r="G7" s="93" t="str">
        <x:v>https://i.pinimg.com/736x/57/3e/6e/573e6e32477855a7ed566e64e07a4c39.jpg</x:v>
      </x:c>
      <x:c r="H7" s="93" t="str">
        <x:v>da-lat-ho-xuan-huong-01.jpg</x:v>
      </x:c>
      <x:c r="I7" s="93" t="str">
        <x:v>/image/tours/da-lat</x:v>
      </x:c>
    </x:row>
    <x:row r="8" ht="15" customHeight="1">
      <x:c r="A8" s="78" t="s">
        <x:v>620</x:v>
      </x:c>
      <x:c r="B8" s="78" t="str">
        <x:v>/image/tours/da-lat-quang-truong-lam-vien-01.jpg</x:v>
      </x:c>
      <x:c r="C8" s="78" t="str">
        <x:v>/image/tours/da-lat-quang-truong-lam-vien-01.jpg</x:v>
      </x:c>
      <x:c r="D8" s="78" t="str">
        <x:v>Ảnh local do người dùng cung cấp; đã chuẩn hóa tên file và đường dẫn.</x:v>
      </x:c>
      <x:c r="E8" s="82" t="str">
        <x:v>LOCAL_ASSET</x:v>
      </x:c>
      <x:c r="F8" s="82" t="str">
        <x:v>Đã chuyển từ URL online sang thư mục public/images/greensteps.</x:v>
      </x:c>
      <x:c r="G8" s="93" t="str">
        <x:v>https://i.pinimg.com/736x/21/55/8f/21558f3ae0639ac880decc74e24a4f9a.jpg</x:v>
      </x:c>
      <x:c r="H8" s="93" t="str">
        <x:v>da-lat-quang-truong-lam-vien-01.jpg</x:v>
      </x:c>
      <x:c r="I8" s="93" t="str">
        <x:v>/image/tours/da-lat</x:v>
      </x:c>
    </x:row>
    <x:row r="9" ht="15" customHeight="1">
      <x:c r="A9" s="80" t="s">
        <x:v>621</x:v>
      </x:c>
      <x:c r="B9" s="80" t="str">
        <x:v>/image/tours/da-lat-toan-canh-thanh-pho-01.jpg</x:v>
      </x:c>
      <x:c r="C9" s="80" t="str">
        <x:v>/image/tours/da-lat-toan-canh-thanh-pho-01.jpg</x:v>
      </x:c>
      <x:c r="D9" s="80" t="str">
        <x:v>Ảnh local do người dùng cung cấp; đã chuẩn hóa tên file và đường dẫn.</x:v>
      </x:c>
      <x:c r="E9" s="82" t="str">
        <x:v>LOCAL_ASSET</x:v>
      </x:c>
      <x:c r="F9" s="82" t="str">
        <x:v>Đã chuyển từ URL online sang thư mục public/images/greensteps.</x:v>
      </x:c>
      <x:c r="G9" s="93" t="str">
        <x:v>https://i.pinimg.com/1200x/ce/2c/ca/ce2ccaa3ae760d552f1f7a765572239f.jpg</x:v>
      </x:c>
      <x:c r="H9" s="93" t="str">
        <x:v>da-lat-toan-canh-thanh-pho-01.jpg</x:v>
      </x:c>
      <x:c r="I9" s="93" t="str">
        <x:v>/image/tours/da-lat</x:v>
      </x:c>
    </x:row>
    <x:row r="10" ht="15" customHeight="1">
      <x:c r="A10" s="78" t="s">
        <x:v>622</x:v>
      </x:c>
      <x:c r="B10" s="78" t="str">
        <x:v>/image/tours/da-lat-ho-tuyen-lam-01.jpg</x:v>
      </x:c>
      <x:c r="C10" s="78" t="str">
        <x:v>/image/tours/da-lat-ho-tuyen-lam-01.jpg</x:v>
      </x:c>
      <x:c r="D10" s="78" t="str">
        <x:v>Ảnh local do người dùng cung cấp; đã chuẩn hóa tên file và đường dẫn.</x:v>
      </x:c>
      <x:c r="E10" s="82" t="str">
        <x:v>LOCAL_ASSET</x:v>
      </x:c>
      <x:c r="F10" s="82" t="str">
        <x:v>Đã chuyển từ URL online sang thư mục public/images/greensteps.</x:v>
      </x:c>
      <x:c r="G10" s="93" t="str">
        <x:v>https://i.pinimg.com/736x/ea/01/24/ea0124134d5a8203b0be16f2ab14c78b.jpg</x:v>
      </x:c>
      <x:c r="H10" s="93" t="str">
        <x:v>da-lat-ho-tuyen-lam-01.jpg</x:v>
      </x:c>
      <x:c r="I10" s="93" t="str">
        <x:v>/image/tours/da-lat</x:v>
      </x:c>
    </x:row>
    <x:row r="11" ht="15" customHeight="1">
      <x:c r="A11" s="80" t="s">
        <x:v>623</x:v>
      </x:c>
      <x:c r="B11" s="80" t="str">
        <x:v>/image/tours/da-lat-rung-thong-san-may-01.jpg</x:v>
      </x:c>
      <x:c r="C11" s="80" t="str">
        <x:v>/image/tours/da-lat-rung-thong-san-may-01.jpg</x:v>
      </x:c>
      <x:c r="D11" s="80" t="str">
        <x:v>Ảnh local do người dùng cung cấp; đã chuẩn hóa tên file và đường dẫn.</x:v>
      </x:c>
      <x:c r="E11" s="82" t="str">
        <x:v>LOCAL_ASSET</x:v>
      </x:c>
      <x:c r="F11" s="82" t="str">
        <x:v>Đã chuyển từ URL online sang thư mục public/images/greensteps.</x:v>
      </x:c>
      <x:c r="G11" s="93" t="str">
        <x:v>https://i.pinimg.com/736x/6b/66/2d/6b662d824945ef388197b07d998f8359.jpg</x:v>
      </x:c>
      <x:c r="H11" s="93" t="str">
        <x:v>da-lat-rung-thong-san-may-01.jpg</x:v>
      </x:c>
      <x:c r="I11" s="93" t="str">
        <x:v>/image/tours/da-lat</x:v>
      </x:c>
    </x:row>
    <x:row r="12" ht="15" customHeight="1">
      <x:c r="A12" s="78" t="s">
        <x:v>624</x:v>
      </x:c>
      <x:c r="B12" s="78" t="str">
        <x:v>/image/tours/da-nang-cau-rong-hoang-hon-01.jpg</x:v>
      </x:c>
      <x:c r="C12" s="78" t="str">
        <x:v>/image/tours/da-nang-cau-rong-hoang-hon-01.jpg</x:v>
      </x:c>
      <x:c r="D12" s="78" t="str">
        <x:v>Ảnh local do người dùng cung cấp; đã chuẩn hóa tên file và đường dẫn.</x:v>
      </x:c>
      <x:c r="E12" s="82" t="str">
        <x:v>LOCAL_ASSET</x:v>
      </x:c>
      <x:c r="F12" s="82" t="str">
        <x:v>Đã chuyển từ URL online sang thư mục public/images/greensteps.</x:v>
      </x:c>
      <x:c r="G12" s="93" t="str">
        <x:v>https://i.pinimg.com/1200x/58/9e/60/589e603ed6614dbf063b018ca1d41044.jpg</x:v>
      </x:c>
      <x:c r="H12" s="93" t="str">
        <x:v>da-nang-cau-rong-hoang-hon-01.jpg</x:v>
      </x:c>
      <x:c r="I12" s="93" t="str">
        <x:v>/image/tours/da-nang-hoi-an</x:v>
      </x:c>
    </x:row>
    <x:row r="13" ht="15" customHeight="1">
      <x:c r="A13" s="80" t="s">
        <x:v>625</x:v>
      </x:c>
      <x:c r="B13" s="80" t="str">
        <x:v>/image/tours/da-nang-cau-vang-ba-na-hills-01.jpg</x:v>
      </x:c>
      <x:c r="C13" s="80" t="str">
        <x:v>/image/tours/da-nang-cau-vang-ba-na-hills-01.jpg</x:v>
      </x:c>
      <x:c r="D13" s="80" t="str">
        <x:v>Ảnh local do người dùng cung cấp; đã chuẩn hóa tên file và đường dẫn.</x:v>
      </x:c>
      <x:c r="E13" s="82" t="str">
        <x:v>LOCAL_ASSET</x:v>
      </x:c>
      <x:c r="F13" s="82" t="str">
        <x:v>Đã chuyển từ URL online sang thư mục public/images/greensteps.</x:v>
      </x:c>
      <x:c r="G13" s="93" t="str">
        <x:v>https://i.pinimg.com/1200x/0f/6e/d5/0f6ed53001e1e7e73eb761f57062f899.jpg</x:v>
      </x:c>
      <x:c r="H13" s="93" t="str">
        <x:v>da-nang-cau-vang-ba-na-hills-01.jpg</x:v>
      </x:c>
      <x:c r="I13" s="93" t="str">
        <x:v>/image/tours/da-nang-hoi-an</x:v>
      </x:c>
    </x:row>
    <x:row r="14" ht="15" customHeight="1">
      <x:c r="A14" s="78" t="s">
        <x:v>626</x:v>
      </x:c>
      <x:c r="B14" s="78" t="str">
        <x:v>/image/tours/hoi-an-pho-co-den-long-01.jpg</x:v>
      </x:c>
      <x:c r="C14" s="78" t="str">
        <x:v>/image/tours/hoi-an-pho-co-den-long-01.jpg</x:v>
      </x:c>
      <x:c r="D14" s="78" t="str">
        <x:v>Ảnh local do người dùng cung cấp; đã chuẩn hóa tên file và đường dẫn.</x:v>
      </x:c>
      <x:c r="E14" s="82" t="str">
        <x:v>LOCAL_ASSET</x:v>
      </x:c>
      <x:c r="F14" s="82" t="str">
        <x:v>Đã chuyển từ URL online sang thư mục public/images/greensteps.</x:v>
      </x:c>
      <x:c r="G14" s="93" t="str">
        <x:v>https://i.pinimg.com/736x/72/fb/66/72fb66407e9d4bae2baca3d5d6976a50.jpg</x:v>
      </x:c>
      <x:c r="H14" s="93" t="str">
        <x:v>hoi-an-pho-co-den-long-01.jpg</x:v>
      </x:c>
      <x:c r="I14" s="93" t="str">
        <x:v>/image/tours/da-nang-hoi-an</x:v>
      </x:c>
    </x:row>
    <x:row r="15" ht="15" customHeight="1">
      <x:c r="A15" s="80" t="s">
        <x:v>627</x:v>
      </x:c>
      <x:c r="B15" s="80" t="str">
        <x:v>/image/tours/da-nang-son-tra-rung-xanh-01.jpg</x:v>
      </x:c>
      <x:c r="C15" s="80" t="str">
        <x:v>/image/tours/da-nang-son-tra-rung-xanh-01.jpg</x:v>
      </x:c>
      <x:c r="D15" s="80" t="str">
        <x:v>Ảnh local do người dùng cung cấp; đã chuẩn hóa tên file và đường dẫn.</x:v>
      </x:c>
      <x:c r="E15" s="82" t="str">
        <x:v>LOCAL_ASSET</x:v>
      </x:c>
      <x:c r="F15" s="82" t="str">
        <x:v>Đã chuyển từ URL online sang thư mục public/images/greensteps.</x:v>
      </x:c>
      <x:c r="G15" s="93" t="str">
        <x:v>https://i.pinimg.com/736x/cc/73/e2/cc73e2cbfec31c9331494fe1117b8085.jpg</x:v>
      </x:c>
      <x:c r="H15" s="93" t="str">
        <x:v>da-nang-son-tra-rung-xanh-01.jpg</x:v>
      </x:c>
      <x:c r="I15" s="93" t="str">
        <x:v>/image/tours/da-nang-hoi-an</x:v>
      </x:c>
    </x:row>
    <x:row r="16" ht="15" customHeight="1">
      <x:c r="A16" s="78" t="s">
        <x:v>628</x:v>
      </x:c>
      <x:c r="B16" s="78" t="str">
        <x:v>/image/tours/da-nang-bien-my-khe-01.jpg</x:v>
      </x:c>
      <x:c r="C16" s="78" t="str">
        <x:v>/image/tours/da-nang-bien-my-khe-01.jpg</x:v>
      </x:c>
      <x:c r="D16" s="78" t="str">
        <x:v>Ảnh local do người dùng cung cấp; đã chuẩn hóa tên file và đường dẫn.</x:v>
      </x:c>
      <x:c r="E16" s="82" t="str">
        <x:v>LOCAL_ASSET</x:v>
      </x:c>
      <x:c r="F16" s="82" t="str">
        <x:v>Đã chuyển từ URL online sang thư mục public/images/greensteps.</x:v>
      </x:c>
      <x:c r="G16" s="93" t="str">
        <x:v>https://i.pinimg.com/736x/10/45/22/104522e091e22eadc9e27768c42bd6f2.jpg</x:v>
      </x:c>
      <x:c r="H16" s="93" t="str">
        <x:v>da-nang-bien-my-khe-01.jpg</x:v>
      </x:c>
      <x:c r="I16" s="93" t="str">
        <x:v>/image/tours/da-nang-hoi-an</x:v>
      </x:c>
    </x:row>
  </x:sheetData>
  <x:pageMargins left="0.7" right="0.7" top="0.75" bottom="0.75" header="0.3" footer="0.3"/>
  <x:tableParts count="1">
    <x:tablePart xmlns:r="http://schemas.openxmlformats.org/officeDocument/2006/relationships" r:id="R94fabba8b3734585"/>
  </x:tableParts>
</x:worksheet>
</file>

<file path=xl/worksheets/sheet15.xml><?xml version="1.0" encoding="utf-8"?>
<x:worksheet xmlns:x="http://schemas.openxmlformats.org/spreadsheetml/2006/main">
  <x:sheetFormatPr defaultRowHeight="14.25"/>
  <x:cols>
    <x:col min="1" max="1" width="30" hidden="0" customWidth="1"/>
    <x:col min="2" max="2" width="58" hidden="0" customWidth="1"/>
    <x:col min="3" max="3" width="70" hidden="0" customWidth="1"/>
  </x:cols>
  <x:sheetData>
    <x:row r="1" ht="36" customHeight="1">
      <x:c r="A1" s="4" t="s">
        <x:v>629</x:v>
      </x:c>
      <x:c r="B1" s="4" t="s">
        <x:v>630</x:v>
      </x:c>
      <x:c r="C1" s="4" t="s">
        <x:v>631</x:v>
      </x:c>
    </x:row>
    <x:row r="2" ht="15" customHeight="1">
      <x:c r="A2" s="16" t="s">
        <x:v>632</x:v>
      </x:c>
      <x:c r="B2" s="16" t="s">
        <x:v>633</x:v>
      </x:c>
      <x:c r="C2" s="16" t="s">
        <x:v>634</x:v>
      </x:c>
    </x:row>
    <x:row r="3" ht="15" customHeight="1">
      <x:c r="A3" s="18" t="s">
        <x:v>635</x:v>
      </x:c>
      <x:c r="B3" s="18" t="s">
        <x:v>636</x:v>
      </x:c>
      <x:c r="C3" s="18" t="s">
        <x:v>637</x:v>
      </x:c>
    </x:row>
    <x:row r="4" ht="15" customHeight="1">
      <x:c r="A4" s="16" t="s">
        <x:v>638</x:v>
      </x:c>
      <x:c r="B4" s="16" t="s">
        <x:v>639</x:v>
      </x:c>
      <x:c r="C4" s="16" t="s">
        <x:v>640</x:v>
      </x:c>
    </x:row>
    <x:row r="5" ht="15" customHeight="1">
      <x:c r="A5" s="18" t="s">
        <x:v>641</x:v>
      </x:c>
      <x:c r="B5" s="18" t="s">
        <x:v>642</x:v>
      </x:c>
      <x:c r="C5" s="18" t="s">
        <x:v>643</x:v>
      </x:c>
    </x:row>
    <x:row r="6" ht="15" customHeight="1">
      <x:c r="A6" s="16" t="s">
        <x:v>644</x:v>
      </x:c>
      <x:c r="B6" s="16" t="s">
        <x:v>645</x:v>
      </x:c>
      <x:c r="C6" s="16" t="s">
        <x:v>646</x:v>
      </x:c>
    </x:row>
    <x:row r="7" ht="15" customHeight="1">
      <x:c r="A7" s="18" t="s">
        <x:v>647</x:v>
      </x:c>
      <x:c r="B7" s="18" t="s">
        <x:v>648</x:v>
      </x:c>
      <x:c r="C7" s="18" t="s">
        <x:v>649</x:v>
      </x:c>
    </x:row>
    <x:row r="8" ht="15" customHeight="1">
      <x:c r="A8" s="16" t="s">
        <x:v>650</x:v>
      </x:c>
      <x:c r="B8" s="16" t="s">
        <x:v>651</x:v>
      </x:c>
      <x:c r="C8" s="16" t="s">
        <x:v>652</x:v>
      </x:c>
    </x:row>
    <x:row r="9">
      <x:c r="A9" s="143" t="str">
        <x:v>Schedule (mở rộng)</x:v>
      </x:c>
      <x:c r="B9" s="144" t="str">
        <x:v>slug, country, nights, short_description, tour_type, difficulty, group_type, min_guests, max_guests, status</x:v>
      </x:c>
      <x:c r="C9" s="145" t="str">
        <x:v>Bổ sung dữ liệu cho trang chi tiết tour và bộ lọc; các trường cũ được giữ nguyên.</x:v>
      </x:c>
    </x:row>
    <x:row r="10">
      <x:c r="A10" s="146" t="str">
        <x:v>ScheduleSample (mở rộng)</x:v>
      </x:c>
      <x:c r="B10" s="147" t="str">
        <x:v>currency, adult_price, child_price, infant_price, deposit_rate, deposit_amount, price_note</x:v>
      </x:c>
      <x:c r="C10" s="148" t="str">
        <x:v>Tách giá theo nhóm khách và xác định khoản đặt cọc.</x:v>
      </x:c>
    </x:row>
    <x:row r="11">
      <x:c r="A11" s="146" t="str">
        <x:v>ScheduleActivity (mở rộng)</x:v>
      </x:c>
      <x:c r="B11" s="147" t="str">
        <x:v>end_time, activity_description, image_url, location_name, duration_minutes, activity_tags, is_included, sort_order</x:v>
      </x:c>
      <x:c r="C11" s="148" t="str">
        <x:v>Dữ liệu đầy đủ cho timeline từng ngày của tour.</x:v>
      </x:c>
    </x:row>
    <x:row r="12">
      <x:c r="A12" s="146" t="str">
        <x:v>TourDeparture</x:v>
      </x:c>
      <x:c r="B12" s="147" t="str">
        <x:v>ID_Departure, ID_Schedule, start_date, end_date, prices, capacity, booked_slots, available_slots, cutoff, hold_minutes, status</x:v>
      </x:c>
      <x:c r="C12" s="148" t="str">
        <x:v>Quản lý từng đợt khởi hành, số chỗ và thời gian giữ chỗ.</x:v>
      </x:c>
    </x:row>
    <x:row r="13">
      <x:c r="A13" s="146" t="str">
        <x:v>TourImage</x:v>
      </x:c>
      <x:c r="B13" s="147" t="str">
        <x:v>ID_Image, ID_Schedule, image_url, image_type, sort_order, alt_text, source_page, usage_status</x:v>
      </x:c>
      <x:c r="C13" s="148" t="str">
        <x:v>Thư viện ảnh cover/gallery cho trang chi tiết tour.</x:v>
      </x:c>
    </x:row>
    <x:row r="14">
      <x:c r="A14" s="146" t="str">
        <x:v>TourFeature</x:v>
      </x:c>
      <x:c r="B14" s="147" t="str">
        <x:v>feature_key, title, value, description, sort_order</x:v>
      </x:c>
      <x:c r="C14" s="148" t="str">
        <x:v>Sáu thẻ thông tin tổng quan của tour.</x:v>
      </x:c>
    </x:row>
    <x:row r="15">
      <x:c r="A15" s="146" t="str">
        <x:v>TourHighlight</x:v>
      </x:c>
      <x:c r="B15" s="147" t="str">
        <x:v>content, icon, sort_order</x:v>
      </x:c>
      <x:c r="C15" s="148" t="str">
        <x:v>Danh sách điểm nổi bật của tour.</x:v>
      </x:c>
    </x:row>
    <x:row r="16">
      <x:c r="A16" s="146" t="str">
        <x:v>TourInclusion</x:v>
      </x:c>
      <x:c r="B16" s="147" t="str">
        <x:v>inclusion_type, content, icon, sort_order</x:v>
      </x:c>
      <x:c r="C16" s="148" t="str">
        <x:v>Các hạng mục bao gồm và không bao gồm.</x:v>
      </x:c>
    </x:row>
    <x:row r="17">
      <x:c r="A17" s="146" t="str">
        <x:v>TourPolicy</x:v>
      </x:c>
      <x:c r="B17" s="147" t="str">
        <x:v>policy_type, title, content, sort_order, is_demo</x:v>
      </x:c>
      <x:c r="C17" s="148" t="str">
        <x:v>Chính sách thanh toán, giữ chỗ, hủy, đổi lịch và trẻ em.</x:v>
      </x:c>
    </x:row>
    <x:row r="18">
      <x:c r="A18" s="149" t="str">
        <x:v>TourBooking_Mock (mở rộng)</x:v>
      </x:c>
      <x:c r="B18" s="150" t="str">
        <x:v>ID_Departure, passenger counts, unit prices, totals, booking_type, payment fields, dates, contact fields</x:v>
      </x:c>
      <x:c r="C18" s="151" t="str">
        <x:v>Mô phỏng luồng đặt cọc ngay và giữ chỗ tạm thời.</x:v>
      </x:c>
    </x:row>
    <x:row r="19">
      <x:c r="A19" s="127" t="str">
        <x:v>LocalImageMapping</x:v>
      </x:c>
      <x:c r="B19" s="127" t="str">
        <x:v>category, old_filename, new_filename, local_path, description, used_for, status</x:v>
      </x:c>
      <x:c r="C19" s="127" t="str">
        <x:v>Bảng ánh xạ toàn bộ ảnh trong ZIP sang tên file và đường dẫn local mới.</x:v>
      </x:c>
    </x:row>
    <x:row r="20">
      <x:c r="A20" s="127" t="str">
        <x:v>SystemAssets</x:v>
      </x:c>
      <x:c r="B20" s="127" t="str">
        <x:v>asset_key, local_path, asset_type, description</x:v>
      </x:c>
      <x:c r="C20" s="127" t="str">
        <x:v>Lưu đường dẫn logo và tài nguyên hệ thống.</x:v>
      </x:c>
    </x:row>
    <x:row r="21">
      <x:c r="A21" s="127" t="str">
        <x:v>User (mở rộng)</x:v>
      </x:c>
      <x:c r="B21" s="127" t="str">
        <x:v>avatar_url</x:v>
      </x:c>
      <x:c r="C21" s="127" t="str">
        <x:v>Đường dẫn ảnh đại diện local của khách hàng demo.</x:v>
      </x:c>
    </x:row>
    <x:row r="22">
      <x:c r="A22" s="127" t="str">
        <x:v>DB_Image_Import_Guide</x:v>
      </x:c>
      <x:c r="B22" s="127" t="str">
        <x:v>Bảng/Sheet, trường CSDL, thư mục vật lý, URL lưu DB, ví dụ, quy tắc</x:v>
      </x:c>
      <x:c r="C22" s="127" t="str">
        <x:v>Hướng dẫn cho Codex/backend import ảnh đúng cấu trúc frontend/public/image.</x:v>
      </x:c>
    </x:row>
    <x:row r="23">
      <x:c r="A23" s="127" t="str">
        <x:v>Quy ước image_url</x:v>
      </x:c>
      <x:c r="B23" s="127" t="str">
        <x:v>/image/tours/... hoặc /image/greensteps/...</x:v>
      </x:c>
      <x:c r="C23" s="127" t="str">
        <x:v>Không lưu ổ đĩa Windows và không lưu tiền tố frontend/public.</x:v>
      </x:c>
    </x:row>
  </x:sheetData>
  <x:pageMargins left="0.7" right="0.7" top="0.75" bottom="0.75" header="0.3" footer="0.3"/>
  <x:tableParts count="1">
    <x:tablePart xmlns:r="http://schemas.openxmlformats.org/officeDocument/2006/relationships" r:id="R1973a4efd0ed4f97"/>
  </x:tableParts>
</x:worksheet>
</file>

<file path=xl/worksheets/sheet16.xml><?xml version="1.0" encoding="utf-8"?>
<x:worksheet xmlns:x="http://schemas.openxmlformats.org/spreadsheetml/2006/main">
  <x:sheetFormatPr defaultRowHeight="14.25"/>
  <x:cols>
    <x:col min="1" max="1" width="16" customWidth="1"/>
    <x:col min="2" max="2" width="26" customWidth="1"/>
    <x:col min="3" max="3" width="60" customWidth="1"/>
    <x:col min="4" max="4" width="42" customWidth="1"/>
    <x:col min="5" max="5" width="70" customWidth="1"/>
    <x:col min="6" max="6" width="26" customWidth="1"/>
  </x:cols>
  <x:sheetData>
    <x:row r="1" ht="36" customHeight="1">
      <x:c r="A1" s="4" t="s">
        <x:v>160</x:v>
      </x:c>
      <x:c r="B1" s="4" t="s">
        <x:v>653</x:v>
      </x:c>
      <x:c r="C1" s="4" t="s">
        <x:v>654</x:v>
      </x:c>
      <x:c r="D1" s="4" t="s">
        <x:v>655</x:v>
      </x:c>
      <x:c r="E1" s="4" t="s">
        <x:v>656</x:v>
      </x:c>
      <x:c r="F1" s="4" t="s">
        <x:v>657</x:v>
      </x:c>
      <x:c r="G1" s="1"/>
      <x:c r="H1" s="1"/>
      <x:c r="I1" s="1"/>
      <x:c r="J1" s="1"/>
      <x:c r="K1" s="1"/>
      <x:c r="L1" s="1"/>
      <x:c r="M1" s="1"/>
      <x:c r="N1" s="1"/>
      <x:c r="O1" s="1"/>
      <x:c r="P1" s="1"/>
    </x:row>
    <x:row r="2" ht="15" customHeight="1">
      <x:c r="A2" s="16" t="s">
        <x:v>658</x:v>
      </x:c>
      <x:c r="B2" s="16" t="s">
        <x:v>659</x:v>
      </x:c>
      <x:c r="C2" s="16" t="s">
        <x:v>660</x:v>
      </x:c>
      <x:c r="D2" s="16" t="s">
        <x:v>661</x:v>
      </x:c>
      <x:c r="E2" s="16" t="s">
        <x:v>172</x:v>
      </x:c>
      <x:c r="F2" s="16" t="s">
        <x:v>662</x:v>
      </x:c>
      <x:c r="G2" s="1"/>
      <x:c r="H2" s="1"/>
      <x:c r="I2" s="1"/>
      <x:c r="J2" s="1"/>
      <x:c r="K2" s="1"/>
      <x:c r="L2" s="1"/>
      <x:c r="M2" s="1"/>
      <x:c r="N2" s="1"/>
      <x:c r="O2" s="1"/>
      <x:c r="P2" s="1"/>
    </x:row>
    <x:row r="3" ht="15" customHeight="1">
      <x:c r="A3" s="18" t="s">
        <x:v>663</x:v>
      </x:c>
      <x:c r="B3" s="18" t="s">
        <x:v>664</x:v>
      </x:c>
      <x:c r="C3" s="18" t="s">
        <x:v>665</x:v>
      </x:c>
      <x:c r="D3" s="18" t="s">
        <x:v>666</x:v>
      </x:c>
      <x:c r="E3" s="18" t="s">
        <x:v>667</x:v>
      </x:c>
      <x:c r="F3" s="18" t="s">
        <x:v>668</x:v>
      </x:c>
      <x:c r="G3" s="1"/>
      <x:c r="H3" s="1"/>
      <x:c r="I3" s="1"/>
      <x:c r="J3" s="1"/>
      <x:c r="K3" s="1"/>
      <x:c r="L3" s="1"/>
      <x:c r="M3" s="1"/>
      <x:c r="N3" s="1"/>
      <x:c r="O3" s="1"/>
      <x:c r="P3" s="1"/>
    </x:row>
    <x:row r="4" ht="15" customHeight="1">
      <x:c r="A4" s="16" t="s">
        <x:v>669</x:v>
      </x:c>
      <x:c r="B4" s="16" t="s">
        <x:v>670</x:v>
      </x:c>
      <x:c r="C4" s="16" t="s">
        <x:v>671</x:v>
      </x:c>
      <x:c r="D4" s="16" t="s">
        <x:v>672</x:v>
      </x:c>
      <x:c r="E4" s="16" t="s">
        <x:v>673</x:v>
      </x:c>
      <x:c r="F4" s="16" t="s">
        <x:v>674</x:v>
      </x:c>
      <x:c r="G4" s="1"/>
      <x:c r="H4" s="1"/>
      <x:c r="I4" s="1"/>
      <x:c r="J4" s="1"/>
      <x:c r="K4" s="1"/>
      <x:c r="L4" s="1"/>
      <x:c r="M4" s="1"/>
      <x:c r="N4" s="1"/>
      <x:c r="O4" s="1"/>
      <x:c r="P4" s="1"/>
    </x:row>
    <x:row r="5" ht="15" customHeight="1">
      <x:c r="A5" s="18" t="s">
        <x:v>675</x:v>
      </x:c>
      <x:c r="B5" s="18" t="s">
        <x:v>676</x:v>
      </x:c>
      <x:c r="C5" s="18" t="s">
        <x:v>677</x:v>
      </x:c>
      <x:c r="D5" s="18" t="s">
        <x:v>678</x:v>
      </x:c>
      <x:c r="E5" s="18" t="s">
        <x:v>679</x:v>
      </x:c>
      <x:c r="F5" s="18" t="s">
        <x:v>680</x:v>
      </x:c>
      <x:c r="G5" s="1"/>
      <x:c r="H5" s="1"/>
      <x:c r="I5" s="1"/>
      <x:c r="J5" s="1"/>
      <x:c r="K5" s="1"/>
      <x:c r="L5" s="1"/>
      <x:c r="M5" s="1"/>
      <x:c r="N5" s="1"/>
      <x:c r="O5" s="1"/>
      <x:c r="P5" s="1"/>
    </x:row>
    <x:row r="6" ht="15" customHeight="1">
      <x:c r="A6" s="16" t="s">
        <x:v>268</x:v>
      </x:c>
      <x:c r="B6" s="16" t="s">
        <x:v>681</x:v>
      </x:c>
      <x:c r="C6" s="16" t="s">
        <x:v>682</x:v>
      </x:c>
      <x:c r="D6" s="16" t="s">
        <x:v>683</x:v>
      </x:c>
      <x:c r="E6" s="16" t="s">
        <x:v>684</x:v>
      </x:c>
      <x:c r="F6" s="16" t="s">
        <x:v>685</x:v>
      </x:c>
      <x:c r="G6" s="1"/>
      <x:c r="H6" s="1"/>
      <x:c r="I6" s="1"/>
      <x:c r="J6" s="1"/>
      <x:c r="K6" s="1"/>
      <x:c r="L6" s="1"/>
      <x:c r="M6" s="1"/>
      <x:c r="N6" s="1"/>
      <x:c r="O6" s="1"/>
      <x:c r="P6" s="1"/>
    </x:row>
    <x:row r="7" ht="15" customHeight="1">
      <x:c r="A7" s="18" t="s">
        <x:v>236</x:v>
      </x:c>
      <x:c r="B7" s="18" t="s">
        <x:v>686</x:v>
      </x:c>
      <x:c r="C7" s="18" t="s">
        <x:v>687</x:v>
      </x:c>
      <x:c r="D7" s="18" t="s">
        <x:v>688</x:v>
      </x:c>
      <x:c r="E7" s="18" t="s">
        <x:v>689</x:v>
      </x:c>
      <x:c r="F7" s="18" t="s">
        <x:v>690</x:v>
      </x:c>
      <x:c r="G7" s="1"/>
      <x:c r="H7" s="1"/>
      <x:c r="I7" s="1"/>
      <x:c r="J7" s="1"/>
      <x:c r="K7" s="1"/>
      <x:c r="L7" s="1"/>
      <x:c r="M7" s="1"/>
      <x:c r="N7" s="1"/>
      <x:c r="O7" s="1"/>
      <x:c r="P7" s="1"/>
    </x:row>
    <x:row r="8" ht="15" customHeight="1">
      <x:c r="A8" s="16" t="s">
        <x:v>691</x:v>
      </x:c>
      <x:c r="B8" s="16" t="s">
        <x:v>692</x:v>
      </x:c>
      <x:c r="C8" s="16" t="s">
        <x:v>693</x:v>
      </x:c>
      <x:c r="D8" s="16" t="s">
        <x:v>694</x:v>
      </x:c>
      <x:c r="E8" s="16" t="s">
        <x:v>695</x:v>
      </x:c>
      <x:c r="F8" s="16" t="s">
        <x:v>696</x:v>
      </x:c>
      <x:c r="G8" s="1"/>
      <x:c r="H8" s="1"/>
      <x:c r="I8" s="1"/>
      <x:c r="J8" s="1"/>
      <x:c r="K8" s="1"/>
      <x:c r="L8" s="1"/>
      <x:c r="M8" s="1"/>
      <x:c r="N8" s="1"/>
      <x:c r="O8" s="1"/>
      <x:c r="P8" s="1"/>
    </x:row>
    <x:row r="9" ht="15" customHeight="1">
      <x:c r="A9" s="18" t="s">
        <x:v>697</x:v>
      </x:c>
      <x:c r="B9" s="18" t="s">
        <x:v>698</x:v>
      </x:c>
      <x:c r="C9" s="18" t="s">
        <x:v>699</x:v>
      </x:c>
      <x:c r="D9" s="18" t="s">
        <x:v>700</x:v>
      </x:c>
      <x:c r="E9" s="18" t="s">
        <x:v>701</x:v>
      </x:c>
      <x:c r="F9" s="18" t="s">
        <x:v>702</x:v>
      </x:c>
      <x:c r="G9" s="1"/>
      <x:c r="H9" s="1"/>
      <x:c r="I9" s="1"/>
      <x:c r="J9" s="1"/>
      <x:c r="K9" s="1"/>
      <x:c r="L9" s="1"/>
      <x:c r="M9" s="1"/>
      <x:c r="N9" s="1"/>
      <x:c r="O9" s="1"/>
      <x:c r="P9" s="1"/>
    </x:row>
    <x:row r="10">
      <x:c r="A10" s="1"/>
      <x:c r="B10" s="1"/>
      <x:c r="C10" s="1"/>
      <x:c r="D10" s="1"/>
      <x:c r="E10" s="1"/>
      <x:c r="F10" s="1"/>
      <x:c r="G10" s="1"/>
      <x:c r="H10" s="1"/>
      <x:c r="I10" s="1"/>
      <x:c r="J10" s="1"/>
      <x:c r="K10" s="1"/>
      <x:c r="L10" s="1"/>
      <x:c r="M10" s="1"/>
      <x:c r="N10" s="1"/>
      <x:c r="O10" s="1"/>
      <x:c r="P10" s="1"/>
    </x:row>
    <x:row r="11">
      <x:c r="A11" s="1"/>
      <x:c r="B11" s="1"/>
      <x:c r="C11" s="1"/>
      <x:c r="D11" s="1"/>
      <x:c r="E11" s="1"/>
      <x:c r="F11" s="1"/>
      <x:c r="G11" s="1"/>
      <x:c r="H11" s="1"/>
      <x:c r="I11" s="1"/>
      <x:c r="J11" s="1"/>
      <x:c r="K11" s="1"/>
      <x:c r="L11" s="1"/>
      <x:c r="M11" s="1"/>
      <x:c r="N11" s="1"/>
      <x:c r="O11" s="1"/>
      <x:c r="P11" s="1"/>
    </x:row>
    <x:row r="12">
      <x:c r="A12" s="1"/>
      <x:c r="B12" s="1"/>
      <x:c r="C12" s="1"/>
      <x:c r="D12" s="1"/>
      <x:c r="E12" s="1"/>
      <x:c r="F12" s="1"/>
      <x:c r="G12" s="1"/>
      <x:c r="H12" s="1"/>
      <x:c r="I12" s="1"/>
      <x:c r="J12" s="1"/>
      <x:c r="K12" s="1"/>
      <x:c r="L12" s="1"/>
      <x:c r="M12" s="1"/>
      <x:c r="N12" s="1"/>
      <x:c r="O12" s="1"/>
      <x:c r="P12" s="1"/>
    </x:row>
    <x:row r="13">
      <x:c r="A13" s="1"/>
      <x:c r="B13" s="1"/>
      <x:c r="C13" s="1"/>
      <x:c r="D13" s="1"/>
      <x:c r="E13" s="1"/>
      <x:c r="F13" s="1"/>
      <x:c r="G13" s="1"/>
      <x:c r="H13" s="1"/>
      <x:c r="I13" s="1"/>
      <x:c r="J13" s="1"/>
      <x:c r="K13" s="1"/>
      <x:c r="L13" s="1"/>
      <x:c r="M13" s="1"/>
      <x:c r="N13" s="1"/>
      <x:c r="O13" s="1"/>
      <x:c r="P13" s="1"/>
    </x:row>
    <x:row r="14">
      <x:c r="A14" s="1"/>
      <x:c r="B14" s="1"/>
      <x:c r="C14" s="1"/>
      <x:c r="D14" s="1"/>
      <x:c r="E14" s="1"/>
      <x:c r="F14" s="1"/>
      <x:c r="G14" s="1"/>
      <x:c r="H14" s="1"/>
      <x:c r="I14" s="1"/>
      <x:c r="J14" s="1"/>
      <x:c r="K14" s="1"/>
      <x:c r="L14" s="1"/>
      <x:c r="M14" s="1"/>
      <x:c r="N14" s="1"/>
      <x:c r="O14" s="1"/>
      <x:c r="P14" s="1"/>
    </x:row>
    <x:row r="15">
      <x:c r="A15" s="1"/>
      <x:c r="B15" s="1"/>
      <x:c r="C15" s="1"/>
      <x:c r="D15" s="1"/>
      <x:c r="E15" s="1"/>
      <x:c r="F15" s="1"/>
      <x:c r="G15" s="1"/>
      <x:c r="H15" s="1"/>
      <x:c r="I15" s="1"/>
      <x:c r="J15" s="1"/>
      <x:c r="K15" s="1"/>
      <x:c r="L15" s="1"/>
      <x:c r="M15" s="1"/>
      <x:c r="N15" s="1"/>
      <x:c r="O15" s="1"/>
      <x:c r="P15" s="1"/>
    </x:row>
    <x:row r="16">
      <x:c r="A16" s="1"/>
      <x:c r="B16" s="1"/>
      <x:c r="C16" s="1"/>
      <x:c r="D16" s="1"/>
      <x:c r="E16" s="1"/>
      <x:c r="F16" s="1"/>
      <x:c r="G16" s="1"/>
      <x:c r="H16" s="1"/>
      <x:c r="I16" s="1"/>
      <x:c r="J16" s="1"/>
      <x:c r="K16" s="1"/>
      <x:c r="L16" s="1"/>
      <x:c r="M16" s="1"/>
      <x:c r="N16" s="1"/>
      <x:c r="O16" s="1"/>
      <x:c r="P16" s="1"/>
    </x:row>
    <x:row r="17">
      <x:c r="A17" s="1"/>
      <x:c r="B17" s="1"/>
      <x:c r="C17" s="1"/>
      <x:c r="D17" s="1"/>
      <x:c r="E17" s="1"/>
      <x:c r="F17" s="1"/>
      <x:c r="G17" s="1"/>
      <x:c r="H17" s="1"/>
      <x:c r="I17" s="1"/>
      <x:c r="J17" s="1"/>
      <x:c r="K17" s="1"/>
      <x:c r="L17" s="1"/>
      <x:c r="M17" s="1"/>
      <x:c r="N17" s="1"/>
      <x:c r="O17" s="1"/>
      <x:c r="P17" s="1"/>
    </x:row>
    <x:row r="18">
      <x:c r="A18" s="1"/>
      <x:c r="B18" s="1"/>
      <x:c r="C18" s="1"/>
      <x:c r="D18" s="1"/>
      <x:c r="E18" s="1"/>
      <x:c r="F18" s="1"/>
      <x:c r="G18" s="1"/>
      <x:c r="H18" s="1"/>
      <x:c r="I18" s="1"/>
      <x:c r="J18" s="1"/>
      <x:c r="K18" s="1"/>
      <x:c r="L18" s="1"/>
      <x:c r="M18" s="1"/>
      <x:c r="N18" s="1"/>
      <x:c r="O18" s="1"/>
      <x:c r="P18" s="1"/>
    </x:row>
    <x:row r="19">
      <x:c r="A19" s="1"/>
      <x:c r="B19" s="1"/>
      <x:c r="C19" s="1"/>
      <x:c r="D19" s="1"/>
      <x:c r="E19" s="1"/>
      <x:c r="F19" s="1"/>
      <x:c r="G19" s="1"/>
      <x:c r="H19" s="1"/>
      <x:c r="I19" s="1"/>
      <x:c r="J19" s="1"/>
      <x:c r="K19" s="1"/>
      <x:c r="L19" s="1"/>
      <x:c r="M19" s="1"/>
      <x:c r="N19" s="1"/>
      <x:c r="O19" s="1"/>
      <x:c r="P19" s="1"/>
    </x:row>
    <x:row r="20">
      <x:c r="A20" s="1"/>
      <x:c r="B20" s="1"/>
      <x:c r="C20" s="1"/>
      <x:c r="D20" s="1"/>
      <x:c r="E20" s="1"/>
      <x:c r="F20" s="1"/>
      <x:c r="G20" s="1"/>
      <x:c r="H20" s="1"/>
      <x:c r="I20" s="1"/>
      <x:c r="J20" s="1"/>
      <x:c r="K20" s="1"/>
      <x:c r="L20" s="1"/>
      <x:c r="M20" s="1"/>
      <x:c r="N20" s="1"/>
      <x:c r="O20" s="1"/>
      <x:c r="P20" s="1"/>
    </x:row>
    <x:row r="21">
      <x:c r="A21" s="1"/>
      <x:c r="B21" s="1"/>
      <x:c r="C21" s="1"/>
      <x:c r="D21" s="1"/>
      <x:c r="E21" s="1"/>
      <x:c r="F21" s="1"/>
      <x:c r="G21" s="1"/>
      <x:c r="H21" s="1"/>
      <x:c r="I21" s="1"/>
      <x:c r="J21" s="1"/>
      <x:c r="K21" s="1"/>
      <x:c r="L21" s="1"/>
      <x:c r="M21" s="1"/>
      <x:c r="N21" s="1"/>
      <x:c r="O21" s="1"/>
      <x:c r="P21" s="1"/>
    </x:row>
    <x:row r="22">
      <x:c r="A22" s="1"/>
      <x:c r="B22" s="1"/>
      <x:c r="C22" s="1"/>
      <x:c r="D22" s="1"/>
      <x:c r="E22" s="1"/>
      <x:c r="F22" s="1"/>
      <x:c r="G22" s="1"/>
      <x:c r="H22" s="1"/>
      <x:c r="I22" s="1"/>
      <x:c r="J22" s="1"/>
      <x:c r="K22" s="1"/>
      <x:c r="L22" s="1"/>
      <x:c r="M22" s="1"/>
      <x:c r="N22" s="1"/>
      <x:c r="O22" s="1"/>
      <x:c r="P22" s="1"/>
    </x:row>
    <x:row r="23">
      <x:c r="A23" s="1"/>
      <x:c r="B23" s="1"/>
      <x:c r="C23" s="1"/>
      <x:c r="D23" s="1"/>
      <x:c r="E23" s="1"/>
      <x:c r="F23" s="1"/>
      <x:c r="G23" s="1"/>
      <x:c r="H23" s="1"/>
      <x:c r="I23" s="1"/>
      <x:c r="J23" s="1"/>
      <x:c r="K23" s="1"/>
      <x:c r="L23" s="1"/>
      <x:c r="M23" s="1"/>
      <x:c r="N23" s="1"/>
      <x:c r="O23" s="1"/>
      <x:c r="P23" s="1"/>
    </x:row>
    <x:row r="24">
      <x:c r="A24" s="1"/>
      <x:c r="B24" s="1"/>
      <x:c r="C24" s="1"/>
      <x:c r="D24" s="1"/>
      <x:c r="E24" s="1"/>
      <x:c r="F24" s="1"/>
      <x:c r="G24" s="1"/>
      <x:c r="H24" s="1"/>
      <x:c r="I24" s="1"/>
      <x:c r="J24" s="1"/>
      <x:c r="K24" s="1"/>
      <x:c r="L24" s="1"/>
      <x:c r="M24" s="1"/>
      <x:c r="N24" s="1"/>
      <x:c r="O24" s="1"/>
      <x:c r="P24" s="1"/>
    </x:row>
    <x:row r="25">
      <x:c r="A25" s="1"/>
      <x:c r="B25" s="1"/>
      <x:c r="C25" s="1"/>
      <x:c r="D25" s="1"/>
      <x:c r="E25" s="1"/>
      <x:c r="F25" s="1"/>
      <x:c r="G25" s="1"/>
      <x:c r="H25" s="1"/>
      <x:c r="I25" s="1"/>
      <x:c r="J25" s="1"/>
      <x:c r="K25" s="1"/>
      <x:c r="L25" s="1"/>
      <x:c r="M25" s="1"/>
      <x:c r="N25" s="1"/>
      <x:c r="O25" s="1"/>
      <x:c r="P25" s="1"/>
    </x:row>
    <x:row r="26">
      <x:c r="A26" s="1"/>
      <x:c r="B26" s="1"/>
      <x:c r="C26" s="1"/>
      <x:c r="D26" s="1"/>
      <x:c r="E26" s="1"/>
      <x:c r="F26" s="1"/>
      <x:c r="G26" s="1"/>
      <x:c r="H26" s="1"/>
      <x:c r="I26" s="1"/>
      <x:c r="J26" s="1"/>
      <x:c r="K26" s="1"/>
      <x:c r="L26" s="1"/>
      <x:c r="M26" s="1"/>
      <x:c r="N26" s="1"/>
      <x:c r="O26" s="1"/>
      <x:c r="P26" s="1"/>
    </x:row>
    <x:row r="27">
      <x:c r="A27" s="1"/>
      <x:c r="B27" s="1"/>
      <x:c r="C27" s="1"/>
      <x:c r="D27" s="1"/>
      <x:c r="E27" s="1"/>
      <x:c r="F27" s="1"/>
      <x:c r="G27" s="1"/>
      <x:c r="H27" s="1"/>
      <x:c r="I27" s="1"/>
      <x:c r="J27" s="1"/>
      <x:c r="K27" s="1"/>
      <x:c r="L27" s="1"/>
      <x:c r="M27" s="1"/>
      <x:c r="N27" s="1"/>
      <x:c r="O27" s="1"/>
      <x:c r="P27" s="1"/>
    </x:row>
    <x:row r="28">
      <x:c r="A28" s="1"/>
      <x:c r="B28" s="1"/>
      <x:c r="C28" s="1"/>
      <x:c r="D28" s="1"/>
      <x:c r="E28" s="1"/>
      <x:c r="F28" s="1"/>
      <x:c r="G28" s="1"/>
      <x:c r="H28" s="1"/>
      <x:c r="I28" s="1"/>
      <x:c r="J28" s="1"/>
      <x:c r="K28" s="1"/>
      <x:c r="L28" s="1"/>
      <x:c r="M28" s="1"/>
      <x:c r="N28" s="1"/>
      <x:c r="O28" s="1"/>
      <x:c r="P28" s="1"/>
    </x:row>
    <x:row r="29">
      <x:c r="A29" s="1"/>
      <x:c r="B29" s="1"/>
      <x:c r="C29" s="1"/>
      <x:c r="D29" s="1"/>
      <x:c r="E29" s="1"/>
      <x:c r="F29" s="1"/>
      <x:c r="G29" s="1"/>
      <x:c r="H29" s="1"/>
      <x:c r="I29" s="1"/>
      <x:c r="J29" s="1"/>
      <x:c r="K29" s="1"/>
      <x:c r="L29" s="1"/>
      <x:c r="M29" s="1"/>
      <x:c r="N29" s="1"/>
      <x:c r="O29" s="1"/>
      <x:c r="P29" s="1"/>
    </x:row>
    <x:row r="30">
      <x:c r="A30" s="1"/>
      <x:c r="B30" s="1"/>
      <x:c r="C30" s="1"/>
      <x:c r="D30" s="1"/>
      <x:c r="E30" s="1"/>
      <x:c r="F30" s="1"/>
      <x:c r="G30" s="1"/>
      <x:c r="H30" s="1"/>
      <x:c r="I30" s="1"/>
      <x:c r="J30" s="1"/>
      <x:c r="K30" s="1"/>
      <x:c r="L30" s="1"/>
      <x:c r="M30" s="1"/>
      <x:c r="N30" s="1"/>
      <x:c r="O30" s="1"/>
      <x:c r="P30" s="1"/>
    </x:row>
    <x:row r="31">
      <x:c r="A31" s="1"/>
      <x:c r="B31" s="1"/>
      <x:c r="C31" s="1"/>
      <x:c r="D31" s="1"/>
      <x:c r="E31" s="1"/>
      <x:c r="F31" s="1"/>
      <x:c r="G31" s="1"/>
      <x:c r="H31" s="1"/>
      <x:c r="I31" s="1"/>
      <x:c r="J31" s="1"/>
      <x:c r="K31" s="1"/>
      <x:c r="L31" s="1"/>
      <x:c r="M31" s="1"/>
      <x:c r="N31" s="1"/>
      <x:c r="O31" s="1"/>
      <x:c r="P31" s="1"/>
    </x:row>
    <x:row r="32">
      <x:c r="A32" s="1"/>
      <x:c r="B32" s="1"/>
      <x:c r="C32" s="1"/>
      <x:c r="D32" s="1"/>
      <x:c r="E32" s="1"/>
      <x:c r="F32" s="1"/>
      <x:c r="G32" s="1"/>
      <x:c r="H32" s="1"/>
      <x:c r="I32" s="1"/>
      <x:c r="J32" s="1"/>
      <x:c r="K32" s="1"/>
      <x:c r="L32" s="1"/>
      <x:c r="M32" s="1"/>
      <x:c r="N32" s="1"/>
      <x:c r="O32" s="1"/>
      <x:c r="P32" s="1"/>
    </x:row>
    <x:row r="33">
      <x:c r="A33" s="1"/>
      <x:c r="B33" s="1"/>
      <x:c r="C33" s="1"/>
      <x:c r="D33" s="1"/>
      <x:c r="E33" s="1"/>
      <x:c r="F33" s="1"/>
      <x:c r="G33" s="1"/>
      <x:c r="H33" s="1"/>
      <x:c r="I33" s="1"/>
      <x:c r="J33" s="1"/>
      <x:c r="K33" s="1"/>
      <x:c r="L33" s="1"/>
      <x:c r="M33" s="1"/>
      <x:c r="N33" s="1"/>
      <x:c r="O33" s="1"/>
      <x:c r="P33" s="1"/>
    </x:row>
    <x:row r="34">
      <x:c r="A34" s="1"/>
      <x:c r="B34" s="1"/>
      <x:c r="C34" s="1"/>
      <x:c r="D34" s="1"/>
      <x:c r="E34" s="1"/>
      <x:c r="F34" s="1"/>
      <x:c r="G34" s="1"/>
      <x:c r="H34" s="1"/>
      <x:c r="I34" s="1"/>
      <x:c r="J34" s="1"/>
      <x:c r="K34" s="1"/>
      <x:c r="L34" s="1"/>
      <x:c r="M34" s="1"/>
      <x:c r="N34" s="1"/>
      <x:c r="O34" s="1"/>
      <x:c r="P34" s="1"/>
    </x:row>
    <x:row r="35">
      <x:c r="A35" s="1"/>
      <x:c r="B35" s="1"/>
      <x:c r="C35" s="1"/>
      <x:c r="D35" s="1"/>
      <x:c r="E35" s="1"/>
      <x:c r="F35" s="1"/>
      <x:c r="G35" s="1"/>
      <x:c r="H35" s="1"/>
      <x:c r="I35" s="1"/>
      <x:c r="J35" s="1"/>
      <x:c r="K35" s="1"/>
      <x:c r="L35" s="1"/>
      <x:c r="M35" s="1"/>
      <x:c r="N35" s="1"/>
      <x:c r="O35" s="1"/>
      <x:c r="P35" s="1"/>
    </x:row>
    <x:row r="36">
      <x:c r="A36" s="1"/>
      <x:c r="B36" s="1"/>
      <x:c r="C36" s="1"/>
      <x:c r="D36" s="1"/>
      <x:c r="E36" s="1"/>
      <x:c r="F36" s="1"/>
      <x:c r="G36" s="1"/>
      <x:c r="H36" s="1"/>
      <x:c r="I36" s="1"/>
      <x:c r="J36" s="1"/>
      <x:c r="K36" s="1"/>
      <x:c r="L36" s="1"/>
      <x:c r="M36" s="1"/>
      <x:c r="N36" s="1"/>
      <x:c r="O36" s="1"/>
      <x:c r="P36" s="1"/>
    </x:row>
    <x:row r="37">
      <x:c r="A37" s="1"/>
      <x:c r="B37" s="1"/>
      <x:c r="C37" s="1"/>
      <x:c r="D37" s="1"/>
      <x:c r="E37" s="1"/>
      <x:c r="F37" s="1"/>
      <x:c r="G37" s="1"/>
      <x:c r="H37" s="1"/>
      <x:c r="I37" s="1"/>
      <x:c r="J37" s="1"/>
      <x:c r="K37" s="1"/>
      <x:c r="L37" s="1"/>
      <x:c r="M37" s="1"/>
      <x:c r="N37" s="1"/>
      <x:c r="O37" s="1"/>
      <x:c r="P37" s="1"/>
    </x:row>
    <x:row r="38">
      <x:c r="A38" s="1"/>
      <x:c r="B38" s="1"/>
      <x:c r="C38" s="1"/>
      <x:c r="D38" s="1"/>
      <x:c r="E38" s="1"/>
      <x:c r="F38" s="1"/>
      <x:c r="G38" s="1"/>
      <x:c r="H38" s="1"/>
      <x:c r="I38" s="1"/>
      <x:c r="J38" s="1"/>
      <x:c r="K38" s="1"/>
      <x:c r="L38" s="1"/>
      <x:c r="M38" s="1"/>
      <x:c r="N38" s="1"/>
      <x:c r="O38" s="1"/>
      <x:c r="P38" s="1"/>
    </x:row>
    <x:row r="39">
      <x:c r="A39" s="1"/>
      <x:c r="B39" s="1"/>
      <x:c r="C39" s="1"/>
      <x:c r="D39" s="1"/>
      <x:c r="E39" s="1"/>
      <x:c r="F39" s="1"/>
      <x:c r="G39" s="1"/>
      <x:c r="H39" s="1"/>
      <x:c r="I39" s="1"/>
      <x:c r="J39" s="1"/>
      <x:c r="K39" s="1"/>
      <x:c r="L39" s="1"/>
      <x:c r="M39" s="1"/>
      <x:c r="N39" s="1"/>
      <x:c r="O39" s="1"/>
      <x:c r="P39" s="1"/>
    </x:row>
    <x:row r="40">
      <x:c r="A40" s="1"/>
      <x:c r="B40" s="1"/>
      <x:c r="C40" s="1"/>
      <x:c r="D40" s="1"/>
      <x:c r="E40" s="1"/>
      <x:c r="F40" s="1"/>
      <x:c r="G40" s="1"/>
      <x:c r="H40" s="1"/>
      <x:c r="I40" s="1"/>
      <x:c r="J40" s="1"/>
      <x:c r="K40" s="1"/>
      <x:c r="L40" s="1"/>
      <x:c r="M40" s="1"/>
      <x:c r="N40" s="1"/>
      <x:c r="O40" s="1"/>
      <x:c r="P40" s="1"/>
    </x:row>
    <x:row r="41">
      <x:c r="A41" s="1"/>
      <x:c r="B41" s="1"/>
      <x:c r="C41" s="1"/>
      <x:c r="D41" s="1"/>
      <x:c r="E41" s="1"/>
      <x:c r="F41" s="1"/>
      <x:c r="G41" s="1"/>
      <x:c r="H41" s="1"/>
      <x:c r="I41" s="1"/>
      <x:c r="J41" s="1"/>
      <x:c r="K41" s="1"/>
      <x:c r="L41" s="1"/>
      <x:c r="M41" s="1"/>
      <x:c r="N41" s="1"/>
      <x:c r="O41" s="1"/>
      <x:c r="P41" s="1"/>
    </x:row>
    <x:row r="42">
      <x:c r="A42" s="1"/>
      <x:c r="B42" s="1"/>
      <x:c r="C42" s="1"/>
      <x:c r="D42" s="1"/>
      <x:c r="E42" s="1"/>
      <x:c r="F42" s="1"/>
      <x:c r="G42" s="1"/>
      <x:c r="H42" s="1"/>
      <x:c r="I42" s="1"/>
      <x:c r="J42" s="1"/>
      <x:c r="K42" s="1"/>
      <x:c r="L42" s="1"/>
      <x:c r="M42" s="1"/>
      <x:c r="N42" s="1"/>
      <x:c r="O42" s="1"/>
      <x:c r="P42" s="1"/>
    </x:row>
    <x:row r="43">
      <x:c r="A43" s="1"/>
      <x:c r="B43" s="1"/>
      <x:c r="C43" s="1"/>
      <x:c r="D43" s="1"/>
      <x:c r="E43" s="1"/>
      <x:c r="F43" s="1"/>
      <x:c r="G43" s="1"/>
      <x:c r="H43" s="1"/>
      <x:c r="I43" s="1"/>
      <x:c r="J43" s="1"/>
      <x:c r="K43" s="1"/>
      <x:c r="L43" s="1"/>
      <x:c r="M43" s="1"/>
      <x:c r="N43" s="1"/>
      <x:c r="O43" s="1"/>
      <x:c r="P43" s="1"/>
    </x:row>
    <x:row r="44">
      <x:c r="A44" s="1"/>
      <x:c r="B44" s="1"/>
      <x:c r="C44" s="1"/>
      <x:c r="D44" s="1"/>
      <x:c r="E44" s="1"/>
      <x:c r="F44" s="1"/>
      <x:c r="G44" s="1"/>
      <x:c r="H44" s="1"/>
      <x:c r="I44" s="1"/>
      <x:c r="J44" s="1"/>
      <x:c r="K44" s="1"/>
      <x:c r="L44" s="1"/>
      <x:c r="M44" s="1"/>
      <x:c r="N44" s="1"/>
      <x:c r="O44" s="1"/>
      <x:c r="P44" s="1"/>
    </x:row>
    <x:row r="45">
      <x:c r="A45" s="1"/>
      <x:c r="B45" s="1"/>
      <x:c r="C45" s="1"/>
      <x:c r="D45" s="1"/>
      <x:c r="E45" s="1"/>
      <x:c r="F45" s="1"/>
      <x:c r="G45" s="1"/>
      <x:c r="H45" s="1"/>
      <x:c r="I45" s="1"/>
      <x:c r="J45" s="1"/>
      <x:c r="K45" s="1"/>
      <x:c r="L45" s="1"/>
      <x:c r="M45" s="1"/>
      <x:c r="N45" s="1"/>
      <x:c r="O45" s="1"/>
      <x:c r="P45" s="1"/>
    </x:row>
    <x:row r="46">
      <x:c r="A46" s="1"/>
      <x:c r="B46" s="1"/>
      <x:c r="C46" s="1"/>
      <x:c r="D46" s="1"/>
      <x:c r="E46" s="1"/>
      <x:c r="F46" s="1"/>
      <x:c r="G46" s="1"/>
      <x:c r="H46" s="1"/>
      <x:c r="I46" s="1"/>
      <x:c r="J46" s="1"/>
      <x:c r="K46" s="1"/>
      <x:c r="L46" s="1"/>
      <x:c r="M46" s="1"/>
      <x:c r="N46" s="1"/>
      <x:c r="O46" s="1"/>
      <x:c r="P46" s="1"/>
    </x:row>
    <x:row r="47">
      <x:c r="A47" s="1"/>
      <x:c r="B47" s="1"/>
      <x:c r="C47" s="1"/>
      <x:c r="D47" s="1"/>
      <x:c r="E47" s="1"/>
      <x:c r="F47" s="1"/>
      <x:c r="G47" s="1"/>
      <x:c r="H47" s="1"/>
      <x:c r="I47" s="1"/>
      <x:c r="J47" s="1"/>
      <x:c r="K47" s="1"/>
      <x:c r="L47" s="1"/>
      <x:c r="M47" s="1"/>
      <x:c r="N47" s="1"/>
      <x:c r="O47" s="1"/>
      <x:c r="P47" s="1"/>
    </x:row>
    <x:row r="48">
      <x:c r="A48" s="1"/>
      <x:c r="B48" s="1"/>
      <x:c r="C48" s="1"/>
      <x:c r="D48" s="1"/>
      <x:c r="E48" s="1"/>
      <x:c r="F48" s="1"/>
      <x:c r="G48" s="1"/>
      <x:c r="H48" s="1"/>
      <x:c r="I48" s="1"/>
      <x:c r="J48" s="1"/>
      <x:c r="K48" s="1"/>
      <x:c r="L48" s="1"/>
      <x:c r="M48" s="1"/>
      <x:c r="N48" s="1"/>
      <x:c r="O48" s="1"/>
      <x:c r="P48" s="1"/>
    </x:row>
    <x:row r="49">
      <x:c r="A49" s="1"/>
      <x:c r="B49" s="1"/>
      <x:c r="C49" s="1"/>
      <x:c r="D49" s="1"/>
      <x:c r="E49" s="1"/>
      <x:c r="F49" s="1"/>
      <x:c r="G49" s="1"/>
      <x:c r="H49" s="1"/>
      <x:c r="I49" s="1"/>
      <x:c r="J49" s="1"/>
      <x:c r="K49" s="1"/>
      <x:c r="L49" s="1"/>
      <x:c r="M49" s="1"/>
      <x:c r="N49" s="1"/>
      <x:c r="O49" s="1"/>
      <x:c r="P49" s="1"/>
    </x:row>
    <x:row r="50">
      <x:c r="A50" s="1"/>
      <x:c r="B50" s="1"/>
      <x:c r="C50" s="1"/>
      <x:c r="D50" s="1"/>
      <x:c r="E50" s="1"/>
      <x:c r="F50" s="1"/>
      <x:c r="G50" s="1"/>
      <x:c r="H50" s="1"/>
      <x:c r="I50" s="1"/>
      <x:c r="J50" s="1"/>
      <x:c r="K50" s="1"/>
      <x:c r="L50" s="1"/>
      <x:c r="M50" s="1"/>
      <x:c r="N50" s="1"/>
      <x:c r="O50" s="1"/>
      <x:c r="P50" s="1"/>
    </x:row>
    <x:row r="51">
      <x:c r="A51" s="1"/>
      <x:c r="B51" s="1"/>
      <x:c r="C51" s="1"/>
      <x:c r="D51" s="1"/>
      <x:c r="E51" s="1"/>
      <x:c r="F51" s="1"/>
      <x:c r="G51" s="1"/>
      <x:c r="H51" s="1"/>
      <x:c r="I51" s="1"/>
      <x:c r="J51" s="1"/>
      <x:c r="K51" s="1"/>
      <x:c r="L51" s="1"/>
      <x:c r="M51" s="1"/>
      <x:c r="N51" s="1"/>
      <x:c r="O51" s="1"/>
      <x:c r="P51" s="1"/>
    </x:row>
    <x:row r="52">
      <x:c r="A52" s="1"/>
      <x:c r="B52" s="1"/>
      <x:c r="C52" s="1"/>
      <x:c r="D52" s="1"/>
      <x:c r="E52" s="1"/>
      <x:c r="F52" s="1"/>
      <x:c r="G52" s="1"/>
      <x:c r="H52" s="1"/>
      <x:c r="I52" s="1"/>
      <x:c r="J52" s="1"/>
      <x:c r="K52" s="1"/>
      <x:c r="L52" s="1"/>
      <x:c r="M52" s="1"/>
      <x:c r="N52" s="1"/>
      <x:c r="O52" s="1"/>
      <x:c r="P52" s="1"/>
    </x:row>
    <x:row r="53">
      <x:c r="A53" s="1"/>
      <x:c r="B53" s="1"/>
      <x:c r="C53" s="1"/>
      <x:c r="D53" s="1"/>
      <x:c r="E53" s="1"/>
      <x:c r="F53" s="1"/>
      <x:c r="G53" s="1"/>
      <x:c r="H53" s="1"/>
      <x:c r="I53" s="1"/>
      <x:c r="J53" s="1"/>
      <x:c r="K53" s="1"/>
      <x:c r="L53" s="1"/>
      <x:c r="M53" s="1"/>
      <x:c r="N53" s="1"/>
      <x:c r="O53" s="1"/>
      <x:c r="P53" s="1"/>
    </x:row>
    <x:row r="54">
      <x:c r="A54" s="1"/>
      <x:c r="B54" s="1"/>
      <x:c r="C54" s="1"/>
      <x:c r="D54" s="1"/>
      <x:c r="E54" s="1"/>
      <x:c r="F54" s="1"/>
      <x:c r="G54" s="1"/>
      <x:c r="H54" s="1"/>
      <x:c r="I54" s="1"/>
      <x:c r="J54" s="1"/>
      <x:c r="K54" s="1"/>
      <x:c r="L54" s="1"/>
      <x:c r="M54" s="1"/>
      <x:c r="N54" s="1"/>
      <x:c r="O54" s="1"/>
      <x:c r="P54" s="1"/>
    </x:row>
    <x:row r="55">
      <x:c r="A55" s="1"/>
      <x:c r="B55" s="1"/>
      <x:c r="C55" s="1"/>
      <x:c r="D55" s="1"/>
      <x:c r="E55" s="1"/>
      <x:c r="F55" s="1"/>
      <x:c r="G55" s="1"/>
      <x:c r="H55" s="1"/>
      <x:c r="I55" s="1"/>
      <x:c r="J55" s="1"/>
      <x:c r="K55" s="1"/>
      <x:c r="L55" s="1"/>
      <x:c r="M55" s="1"/>
      <x:c r="N55" s="1"/>
      <x:c r="O55" s="1"/>
      <x:c r="P55" s="1"/>
    </x:row>
    <x:row r="56">
      <x:c r="A56" s="1"/>
      <x:c r="B56" s="1"/>
      <x:c r="C56" s="1"/>
      <x:c r="D56" s="1"/>
      <x:c r="E56" s="1"/>
      <x:c r="F56" s="1"/>
      <x:c r="G56" s="1"/>
      <x:c r="H56" s="1"/>
      <x:c r="I56" s="1"/>
      <x:c r="J56" s="1"/>
      <x:c r="K56" s="1"/>
      <x:c r="L56" s="1"/>
      <x:c r="M56" s="1"/>
      <x:c r="N56" s="1"/>
      <x:c r="O56" s="1"/>
      <x:c r="P56" s="1"/>
    </x:row>
    <x:row r="57">
      <x:c r="A57" s="1"/>
      <x:c r="B57" s="1"/>
      <x:c r="C57" s="1"/>
      <x:c r="D57" s="1"/>
      <x:c r="E57" s="1"/>
      <x:c r="F57" s="1"/>
      <x:c r="G57" s="1"/>
      <x:c r="H57" s="1"/>
      <x:c r="I57" s="1"/>
      <x:c r="J57" s="1"/>
      <x:c r="K57" s="1"/>
      <x:c r="L57" s="1"/>
      <x:c r="M57" s="1"/>
      <x:c r="N57" s="1"/>
      <x:c r="O57" s="1"/>
      <x:c r="P57" s="1"/>
    </x:row>
    <x:row r="58">
      <x:c r="A58" s="1"/>
      <x:c r="B58" s="1"/>
      <x:c r="C58" s="1"/>
      <x:c r="D58" s="1"/>
      <x:c r="E58" s="1"/>
      <x:c r="F58" s="1"/>
      <x:c r="G58" s="1"/>
      <x:c r="H58" s="1"/>
      <x:c r="I58" s="1"/>
      <x:c r="J58" s="1"/>
      <x:c r="K58" s="1"/>
      <x:c r="L58" s="1"/>
      <x:c r="M58" s="1"/>
      <x:c r="N58" s="1"/>
      <x:c r="O58" s="1"/>
      <x:c r="P58" s="1"/>
    </x:row>
    <x:row r="59">
      <x:c r="A59" s="1"/>
      <x:c r="B59" s="1"/>
      <x:c r="C59" s="1"/>
      <x:c r="D59" s="1"/>
      <x:c r="E59" s="1"/>
      <x:c r="F59" s="1"/>
      <x:c r="G59" s="1"/>
      <x:c r="H59" s="1"/>
      <x:c r="I59" s="1"/>
      <x:c r="J59" s="1"/>
      <x:c r="K59" s="1"/>
      <x:c r="L59" s="1"/>
      <x:c r="M59" s="1"/>
      <x:c r="N59" s="1"/>
      <x:c r="O59" s="1"/>
      <x:c r="P59" s="1"/>
    </x:row>
    <x:row r="60">
      <x:c r="A60" s="1"/>
      <x:c r="B60" s="1"/>
      <x:c r="C60" s="1"/>
      <x:c r="D60" s="1"/>
      <x:c r="E60" s="1"/>
      <x:c r="F60" s="1"/>
      <x:c r="G60" s="1"/>
      <x:c r="H60" s="1"/>
      <x:c r="I60" s="1"/>
      <x:c r="J60" s="1"/>
      <x:c r="K60" s="1"/>
      <x:c r="L60" s="1"/>
      <x:c r="M60" s="1"/>
      <x:c r="N60" s="1"/>
      <x:c r="O60" s="1"/>
      <x:c r="P60" s="1"/>
    </x:row>
    <x:row r="61">
      <x:c r="A61" s="1"/>
      <x:c r="B61" s="1"/>
      <x:c r="C61" s="1"/>
      <x:c r="D61" s="1"/>
      <x:c r="E61" s="1"/>
      <x:c r="F61" s="1"/>
      <x:c r="G61" s="1"/>
      <x:c r="H61" s="1"/>
      <x:c r="I61" s="1"/>
      <x:c r="J61" s="1"/>
      <x:c r="K61" s="1"/>
      <x:c r="L61" s="1"/>
      <x:c r="M61" s="1"/>
      <x:c r="N61" s="1"/>
      <x:c r="O61" s="1"/>
      <x:c r="P61" s="1"/>
    </x:row>
    <x:row r="62">
      <x:c r="A62" s="1"/>
      <x:c r="B62" s="1"/>
      <x:c r="C62" s="1"/>
      <x:c r="D62" s="1"/>
      <x:c r="E62" s="1"/>
      <x:c r="F62" s="1"/>
      <x:c r="G62" s="1"/>
      <x:c r="H62" s="1"/>
      <x:c r="I62" s="1"/>
      <x:c r="J62" s="1"/>
      <x:c r="K62" s="1"/>
      <x:c r="L62" s="1"/>
      <x:c r="M62" s="1"/>
      <x:c r="N62" s="1"/>
      <x:c r="O62" s="1"/>
      <x:c r="P62" s="1"/>
    </x:row>
    <x:row r="63">
      <x:c r="A63" s="1"/>
      <x:c r="B63" s="1"/>
      <x:c r="C63" s="1"/>
      <x:c r="D63" s="1"/>
      <x:c r="E63" s="1"/>
      <x:c r="F63" s="1"/>
      <x:c r="G63" s="1"/>
      <x:c r="H63" s="1"/>
      <x:c r="I63" s="1"/>
      <x:c r="J63" s="1"/>
      <x:c r="K63" s="1"/>
      <x:c r="L63" s="1"/>
      <x:c r="M63" s="1"/>
      <x:c r="N63" s="1"/>
      <x:c r="O63" s="1"/>
      <x:c r="P63" s="1"/>
    </x:row>
    <x:row r="64">
      <x:c r="A64" s="1"/>
      <x:c r="B64" s="1"/>
      <x:c r="C64" s="1"/>
      <x:c r="D64" s="1"/>
      <x:c r="E64" s="1"/>
      <x:c r="F64" s="1"/>
      <x:c r="G64" s="1"/>
      <x:c r="H64" s="1"/>
      <x:c r="I64" s="1"/>
      <x:c r="J64" s="1"/>
      <x:c r="K64" s="1"/>
      <x:c r="L64" s="1"/>
      <x:c r="M64" s="1"/>
      <x:c r="N64" s="1"/>
      <x:c r="O64" s="1"/>
      <x:c r="P64" s="1"/>
    </x:row>
    <x:row r="65">
      <x:c r="A65" s="1"/>
      <x:c r="B65" s="1"/>
      <x:c r="C65" s="1"/>
      <x:c r="D65" s="1"/>
      <x:c r="E65" s="1"/>
      <x:c r="F65" s="1"/>
      <x:c r="G65" s="1"/>
      <x:c r="H65" s="1"/>
      <x:c r="I65" s="1"/>
      <x:c r="J65" s="1"/>
      <x:c r="K65" s="1"/>
      <x:c r="L65" s="1"/>
      <x:c r="M65" s="1"/>
      <x:c r="N65" s="1"/>
      <x:c r="O65" s="1"/>
      <x:c r="P65" s="1"/>
    </x:row>
    <x:row r="66">
      <x:c r="A66" s="1"/>
      <x:c r="B66" s="1"/>
      <x:c r="C66" s="1"/>
      <x:c r="D66" s="1"/>
      <x:c r="E66" s="1"/>
      <x:c r="F66" s="1"/>
      <x:c r="G66" s="1"/>
      <x:c r="H66" s="1"/>
      <x:c r="I66" s="1"/>
      <x:c r="J66" s="1"/>
      <x:c r="K66" s="1"/>
      <x:c r="L66" s="1"/>
      <x:c r="M66" s="1"/>
      <x:c r="N66" s="1"/>
      <x:c r="O66" s="1"/>
      <x:c r="P66" s="1"/>
    </x:row>
    <x:row r="67">
      <x:c r="A67" s="1"/>
      <x:c r="B67" s="1"/>
      <x:c r="C67" s="1"/>
      <x:c r="D67" s="1"/>
      <x:c r="E67" s="1"/>
      <x:c r="F67" s="1"/>
      <x:c r="G67" s="1"/>
      <x:c r="H67" s="1"/>
      <x:c r="I67" s="1"/>
      <x:c r="J67" s="1"/>
      <x:c r="K67" s="1"/>
      <x:c r="L67" s="1"/>
      <x:c r="M67" s="1"/>
      <x:c r="N67" s="1"/>
      <x:c r="O67" s="1"/>
      <x:c r="P67" s="1"/>
    </x:row>
    <x:row r="68">
      <x:c r="A68" s="1"/>
      <x:c r="B68" s="1"/>
      <x:c r="C68" s="1"/>
      <x:c r="D68" s="1"/>
      <x:c r="E68" s="1"/>
      <x:c r="F68" s="1"/>
      <x:c r="G68" s="1"/>
      <x:c r="H68" s="1"/>
      <x:c r="I68" s="1"/>
      <x:c r="J68" s="1"/>
      <x:c r="K68" s="1"/>
      <x:c r="L68" s="1"/>
      <x:c r="M68" s="1"/>
      <x:c r="N68" s="1"/>
      <x:c r="O68" s="1"/>
      <x:c r="P68" s="1"/>
    </x:row>
    <x:row r="69">
      <x:c r="A69" s="1"/>
      <x:c r="B69" s="1"/>
      <x:c r="C69" s="1"/>
      <x:c r="D69" s="1"/>
      <x:c r="E69" s="1"/>
      <x:c r="F69" s="1"/>
      <x:c r="G69" s="1"/>
      <x:c r="H69" s="1"/>
      <x:c r="I69" s="1"/>
      <x:c r="J69" s="1"/>
      <x:c r="K69" s="1"/>
      <x:c r="L69" s="1"/>
      <x:c r="M69" s="1"/>
      <x:c r="N69" s="1"/>
      <x:c r="O69" s="1"/>
      <x:c r="P69" s="1"/>
    </x:row>
    <x:row r="70">
      <x:c r="A70" s="1"/>
      <x:c r="B70" s="1"/>
      <x:c r="C70" s="1"/>
      <x:c r="D70" s="1"/>
      <x:c r="E70" s="1"/>
      <x:c r="F70" s="1"/>
      <x:c r="G70" s="1"/>
      <x:c r="H70" s="1"/>
      <x:c r="I70" s="1"/>
      <x:c r="J70" s="1"/>
      <x:c r="K70" s="1"/>
      <x:c r="L70" s="1"/>
      <x:c r="M70" s="1"/>
      <x:c r="N70" s="1"/>
      <x:c r="O70" s="1"/>
      <x:c r="P70" s="1"/>
    </x:row>
    <x:row r="71">
      <x:c r="A71" s="1"/>
      <x:c r="B71" s="1"/>
      <x:c r="C71" s="1"/>
      <x:c r="D71" s="1"/>
      <x:c r="E71" s="1"/>
      <x:c r="F71" s="1"/>
      <x:c r="G71" s="1"/>
      <x:c r="H71" s="1"/>
      <x:c r="I71" s="1"/>
      <x:c r="J71" s="1"/>
      <x:c r="K71" s="1"/>
      <x:c r="L71" s="1"/>
      <x:c r="M71" s="1"/>
      <x:c r="N71" s="1"/>
      <x:c r="O71" s="1"/>
      <x:c r="P71" s="1"/>
    </x:row>
    <x:row r="72">
      <x:c r="A72" s="1"/>
      <x:c r="B72" s="1"/>
      <x:c r="C72" s="1"/>
      <x:c r="D72" s="1"/>
      <x:c r="E72" s="1"/>
      <x:c r="F72" s="1"/>
      <x:c r="G72" s="1"/>
      <x:c r="H72" s="1"/>
      <x:c r="I72" s="1"/>
      <x:c r="J72" s="1"/>
      <x:c r="K72" s="1"/>
      <x:c r="L72" s="1"/>
      <x:c r="M72" s="1"/>
      <x:c r="N72" s="1"/>
      <x:c r="O72" s="1"/>
      <x:c r="P72" s="1"/>
    </x:row>
    <x:row r="73">
      <x:c r="A73" s="1"/>
      <x:c r="B73" s="1"/>
      <x:c r="C73" s="1"/>
      <x:c r="D73" s="1"/>
      <x:c r="E73" s="1"/>
      <x:c r="F73" s="1"/>
      <x:c r="G73" s="1"/>
      <x:c r="H73" s="1"/>
      <x:c r="I73" s="1"/>
      <x:c r="J73" s="1"/>
      <x:c r="K73" s="1"/>
      <x:c r="L73" s="1"/>
      <x:c r="M73" s="1"/>
      <x:c r="N73" s="1"/>
      <x:c r="O73" s="1"/>
      <x:c r="P73" s="1"/>
    </x:row>
    <x:row r="74">
      <x:c r="A74" s="1"/>
      <x:c r="B74" s="1"/>
      <x:c r="C74" s="1"/>
      <x:c r="D74" s="1"/>
      <x:c r="E74" s="1"/>
      <x:c r="F74" s="1"/>
      <x:c r="G74" s="1"/>
      <x:c r="H74" s="1"/>
      <x:c r="I74" s="1"/>
      <x:c r="J74" s="1"/>
      <x:c r="K74" s="1"/>
      <x:c r="L74" s="1"/>
      <x:c r="M74" s="1"/>
      <x:c r="N74" s="1"/>
      <x:c r="O74" s="1"/>
      <x:c r="P74" s="1"/>
    </x:row>
    <x:row r="75">
      <x:c r="A75" s="1"/>
      <x:c r="B75" s="1"/>
      <x:c r="C75" s="1"/>
      <x:c r="D75" s="1"/>
      <x:c r="E75" s="1"/>
      <x:c r="F75" s="1"/>
      <x:c r="G75" s="1"/>
      <x:c r="H75" s="1"/>
      <x:c r="I75" s="1"/>
      <x:c r="J75" s="1"/>
      <x:c r="K75" s="1"/>
      <x:c r="L75" s="1"/>
      <x:c r="M75" s="1"/>
      <x:c r="N75" s="1"/>
      <x:c r="O75" s="1"/>
      <x:c r="P75" s="1"/>
    </x:row>
    <x:row r="76">
      <x:c r="A76" s="1"/>
      <x:c r="B76" s="1"/>
      <x:c r="C76" s="1"/>
      <x:c r="D76" s="1"/>
      <x:c r="E76" s="1"/>
      <x:c r="F76" s="1"/>
      <x:c r="G76" s="1"/>
      <x:c r="H76" s="1"/>
      <x:c r="I76" s="1"/>
      <x:c r="J76" s="1"/>
      <x:c r="K76" s="1"/>
      <x:c r="L76" s="1"/>
      <x:c r="M76" s="1"/>
      <x:c r="N76" s="1"/>
      <x:c r="O76" s="1"/>
      <x:c r="P76" s="1"/>
    </x:row>
    <x:row r="77">
      <x:c r="A77" s="1"/>
      <x:c r="B77" s="1"/>
      <x:c r="C77" s="1"/>
      <x:c r="D77" s="1"/>
      <x:c r="E77" s="1"/>
      <x:c r="F77" s="1"/>
      <x:c r="G77" s="1"/>
      <x:c r="H77" s="1"/>
      <x:c r="I77" s="1"/>
      <x:c r="J77" s="1"/>
      <x:c r="K77" s="1"/>
      <x:c r="L77" s="1"/>
      <x:c r="M77" s="1"/>
      <x:c r="N77" s="1"/>
      <x:c r="O77" s="1"/>
      <x:c r="P77" s="1"/>
    </x:row>
    <x:row r="78">
      <x:c r="A78" s="1"/>
      <x:c r="B78" s="1"/>
      <x:c r="C78" s="1"/>
      <x:c r="D78" s="1"/>
      <x:c r="E78" s="1"/>
      <x:c r="F78" s="1"/>
      <x:c r="G78" s="1"/>
      <x:c r="H78" s="1"/>
      <x:c r="I78" s="1"/>
      <x:c r="J78" s="1"/>
      <x:c r="K78" s="1"/>
      <x:c r="L78" s="1"/>
      <x:c r="M78" s="1"/>
      <x:c r="N78" s="1"/>
      <x:c r="O78" s="1"/>
      <x:c r="P78" s="1"/>
    </x:row>
    <x:row r="79">
      <x:c r="A79" s="1"/>
      <x:c r="B79" s="1"/>
      <x:c r="C79" s="1"/>
      <x:c r="D79" s="1"/>
      <x:c r="E79" s="1"/>
      <x:c r="F79" s="1"/>
      <x:c r="G79" s="1"/>
      <x:c r="H79" s="1"/>
      <x:c r="I79" s="1"/>
      <x:c r="J79" s="1"/>
      <x:c r="K79" s="1"/>
      <x:c r="L79" s="1"/>
      <x:c r="M79" s="1"/>
      <x:c r="N79" s="1"/>
      <x:c r="O79" s="1"/>
      <x:c r="P79" s="1"/>
    </x:row>
    <x:row r="80">
      <x:c r="A80" s="1"/>
      <x:c r="B80" s="1"/>
      <x:c r="C80" s="1"/>
      <x:c r="D80" s="1"/>
      <x:c r="E80" s="1"/>
      <x:c r="F80" s="1"/>
      <x:c r="G80" s="1"/>
      <x:c r="H80" s="1"/>
      <x:c r="I80" s="1"/>
      <x:c r="J80" s="1"/>
      <x:c r="K80" s="1"/>
      <x:c r="L80" s="1"/>
      <x:c r="M80" s="1"/>
      <x:c r="N80" s="1"/>
      <x:c r="O80" s="1"/>
      <x:c r="P80" s="1"/>
    </x:row>
    <x:row r="81">
      <x:c r="A81" s="1"/>
      <x:c r="B81" s="1"/>
      <x:c r="C81" s="1"/>
      <x:c r="D81" s="1"/>
      <x:c r="E81" s="1"/>
      <x:c r="F81" s="1"/>
      <x:c r="G81" s="1"/>
      <x:c r="H81" s="1"/>
      <x:c r="I81" s="1"/>
      <x:c r="J81" s="1"/>
      <x:c r="K81" s="1"/>
      <x:c r="L81" s="1"/>
      <x:c r="M81" s="1"/>
      <x:c r="N81" s="1"/>
      <x:c r="O81" s="1"/>
      <x:c r="P81" s="1"/>
    </x:row>
    <x:row r="82">
      <x:c r="A82" s="1"/>
      <x:c r="B82" s="1"/>
      <x:c r="C82" s="1"/>
      <x:c r="D82" s="1"/>
      <x:c r="E82" s="1"/>
      <x:c r="F82" s="1"/>
      <x:c r="G82" s="1"/>
      <x:c r="H82" s="1"/>
      <x:c r="I82" s="1"/>
      <x:c r="J82" s="1"/>
      <x:c r="K82" s="1"/>
      <x:c r="L82" s="1"/>
      <x:c r="M82" s="1"/>
      <x:c r="N82" s="1"/>
      <x:c r="O82" s="1"/>
      <x:c r="P82" s="1"/>
    </x:row>
    <x:row r="83">
      <x:c r="A83" s="1"/>
      <x:c r="B83" s="1"/>
      <x:c r="C83" s="1"/>
      <x:c r="D83" s="1"/>
      <x:c r="E83" s="1"/>
      <x:c r="F83" s="1"/>
      <x:c r="G83" s="1"/>
      <x:c r="H83" s="1"/>
      <x:c r="I83" s="1"/>
      <x:c r="J83" s="1"/>
      <x:c r="K83" s="1"/>
      <x:c r="L83" s="1"/>
      <x:c r="M83" s="1"/>
      <x:c r="N83" s="1"/>
      <x:c r="O83" s="1"/>
      <x:c r="P83" s="1"/>
    </x:row>
    <x:row r="84">
      <x:c r="A84" s="1"/>
      <x:c r="B84" s="1"/>
      <x:c r="C84" s="1"/>
      <x:c r="D84" s="1"/>
      <x:c r="E84" s="1"/>
      <x:c r="F84" s="1"/>
      <x:c r="G84" s="1"/>
      <x:c r="H84" s="1"/>
      <x:c r="I84" s="1"/>
      <x:c r="J84" s="1"/>
      <x:c r="K84" s="1"/>
      <x:c r="L84" s="1"/>
      <x:c r="M84" s="1"/>
      <x:c r="N84" s="1"/>
      <x:c r="O84" s="1"/>
      <x:c r="P84" s="1"/>
    </x:row>
    <x:row r="85">
      <x:c r="A85" s="1"/>
      <x:c r="B85" s="1"/>
      <x:c r="C85" s="1"/>
      <x:c r="D85" s="1"/>
      <x:c r="E85" s="1"/>
      <x:c r="F85" s="1"/>
      <x:c r="G85" s="1"/>
      <x:c r="H85" s="1"/>
      <x:c r="I85" s="1"/>
      <x:c r="J85" s="1"/>
      <x:c r="K85" s="1"/>
      <x:c r="L85" s="1"/>
      <x:c r="M85" s="1"/>
      <x:c r="N85" s="1"/>
      <x:c r="O85" s="1"/>
      <x:c r="P85" s="1"/>
    </x:row>
    <x:row r="86">
      <x:c r="A86" s="1"/>
      <x:c r="B86" s="1"/>
      <x:c r="C86" s="1"/>
      <x:c r="D86" s="1"/>
      <x:c r="E86" s="1"/>
      <x:c r="F86" s="1"/>
      <x:c r="G86" s="1"/>
      <x:c r="H86" s="1"/>
      <x:c r="I86" s="1"/>
      <x:c r="J86" s="1"/>
      <x:c r="K86" s="1"/>
      <x:c r="L86" s="1"/>
      <x:c r="M86" s="1"/>
      <x:c r="N86" s="1"/>
      <x:c r="O86" s="1"/>
      <x:c r="P86" s="1"/>
    </x:row>
    <x:row r="87">
      <x:c r="A87" s="1"/>
      <x:c r="B87" s="1"/>
      <x:c r="C87" s="1"/>
      <x:c r="D87" s="1"/>
      <x:c r="E87" s="1"/>
      <x:c r="F87" s="1"/>
      <x:c r="G87" s="1"/>
      <x:c r="H87" s="1"/>
      <x:c r="I87" s="1"/>
      <x:c r="J87" s="1"/>
      <x:c r="K87" s="1"/>
      <x:c r="L87" s="1"/>
      <x:c r="M87" s="1"/>
      <x:c r="N87" s="1"/>
      <x:c r="O87" s="1"/>
      <x:c r="P87" s="1"/>
    </x:row>
    <x:row r="88">
      <x:c r="A88" s="1"/>
      <x:c r="B88" s="1"/>
      <x:c r="C88" s="1"/>
      <x:c r="D88" s="1"/>
      <x:c r="E88" s="1"/>
      <x:c r="F88" s="1"/>
      <x:c r="G88" s="1"/>
      <x:c r="H88" s="1"/>
      <x:c r="I88" s="1"/>
      <x:c r="J88" s="1"/>
      <x:c r="K88" s="1"/>
      <x:c r="L88" s="1"/>
      <x:c r="M88" s="1"/>
      <x:c r="N88" s="1"/>
      <x:c r="O88" s="1"/>
      <x:c r="P88" s="1"/>
    </x:row>
    <x:row r="89">
      <x:c r="A89" s="1"/>
      <x:c r="B89" s="1"/>
      <x:c r="C89" s="1"/>
      <x:c r="D89" s="1"/>
      <x:c r="E89" s="1"/>
      <x:c r="F89" s="1"/>
      <x:c r="G89" s="1"/>
      <x:c r="H89" s="1"/>
      <x:c r="I89" s="1"/>
      <x:c r="J89" s="1"/>
      <x:c r="K89" s="1"/>
      <x:c r="L89" s="1"/>
      <x:c r="M89" s="1"/>
      <x:c r="N89" s="1"/>
      <x:c r="O89" s="1"/>
      <x:c r="P89" s="1"/>
    </x:row>
    <x:row r="90">
      <x:c r="A90" s="1"/>
      <x:c r="B90" s="1"/>
      <x:c r="C90" s="1"/>
      <x:c r="D90" s="1"/>
      <x:c r="E90" s="1"/>
      <x:c r="F90" s="1"/>
      <x:c r="G90" s="1"/>
      <x:c r="H90" s="1"/>
      <x:c r="I90" s="1"/>
      <x:c r="J90" s="1"/>
      <x:c r="K90" s="1"/>
      <x:c r="L90" s="1"/>
      <x:c r="M90" s="1"/>
      <x:c r="N90" s="1"/>
      <x:c r="O90" s="1"/>
      <x:c r="P90" s="1"/>
    </x:row>
    <x:row r="91">
      <x:c r="A91" s="1"/>
      <x:c r="B91" s="1"/>
      <x:c r="C91" s="1"/>
      <x:c r="D91" s="1"/>
      <x:c r="E91" s="1"/>
      <x:c r="F91" s="1"/>
      <x:c r="G91" s="1"/>
      <x:c r="H91" s="1"/>
      <x:c r="I91" s="1"/>
      <x:c r="J91" s="1"/>
      <x:c r="K91" s="1"/>
      <x:c r="L91" s="1"/>
      <x:c r="M91" s="1"/>
      <x:c r="N91" s="1"/>
      <x:c r="O91" s="1"/>
      <x:c r="P91" s="1"/>
    </x:row>
    <x:row r="92">
      <x:c r="A92" s="1"/>
      <x:c r="B92" s="1"/>
      <x:c r="C92" s="1"/>
      <x:c r="D92" s="1"/>
      <x:c r="E92" s="1"/>
      <x:c r="F92" s="1"/>
      <x:c r="G92" s="1"/>
      <x:c r="H92" s="1"/>
      <x:c r="I92" s="1"/>
      <x:c r="J92" s="1"/>
      <x:c r="K92" s="1"/>
      <x:c r="L92" s="1"/>
      <x:c r="M92" s="1"/>
      <x:c r="N92" s="1"/>
      <x:c r="O92" s="1"/>
      <x:c r="P92" s="1"/>
    </x:row>
    <x:row r="93">
      <x:c r="A93" s="1"/>
      <x:c r="B93" s="1"/>
      <x:c r="C93" s="1"/>
      <x:c r="D93" s="1"/>
      <x:c r="E93" s="1"/>
      <x:c r="F93" s="1"/>
      <x:c r="G93" s="1"/>
      <x:c r="H93" s="1"/>
      <x:c r="I93" s="1"/>
      <x:c r="J93" s="1"/>
      <x:c r="K93" s="1"/>
      <x:c r="L93" s="1"/>
      <x:c r="M93" s="1"/>
      <x:c r="N93" s="1"/>
      <x:c r="O93" s="1"/>
      <x:c r="P93" s="1"/>
    </x:row>
    <x:row r="94">
      <x:c r="A94" s="1"/>
      <x:c r="B94" s="1"/>
      <x:c r="C94" s="1"/>
      <x:c r="D94" s="1"/>
      <x:c r="E94" s="1"/>
      <x:c r="F94" s="1"/>
      <x:c r="G94" s="1"/>
      <x:c r="H94" s="1"/>
      <x:c r="I94" s="1"/>
      <x:c r="J94" s="1"/>
      <x:c r="K94" s="1"/>
      <x:c r="L94" s="1"/>
      <x:c r="M94" s="1"/>
      <x:c r="N94" s="1"/>
      <x:c r="O94" s="1"/>
      <x:c r="P94" s="1"/>
    </x:row>
    <x:row r="95">
      <x:c r="A95" s="1"/>
      <x:c r="B95" s="1"/>
      <x:c r="C95" s="1"/>
      <x:c r="D95" s="1"/>
      <x:c r="E95" s="1"/>
      <x:c r="F95" s="1"/>
      <x:c r="G95" s="1"/>
      <x:c r="H95" s="1"/>
      <x:c r="I95" s="1"/>
      <x:c r="J95" s="1"/>
      <x:c r="K95" s="1"/>
      <x:c r="L95" s="1"/>
      <x:c r="M95" s="1"/>
      <x:c r="N95" s="1"/>
      <x:c r="O95" s="1"/>
      <x:c r="P95" s="1"/>
    </x:row>
    <x:row r="96">
      <x:c r="A96" s="1"/>
      <x:c r="B96" s="1"/>
      <x:c r="C96" s="1"/>
      <x:c r="D96" s="1"/>
      <x:c r="E96" s="1"/>
      <x:c r="F96" s="1"/>
      <x:c r="G96" s="1"/>
      <x:c r="H96" s="1"/>
      <x:c r="I96" s="1"/>
      <x:c r="J96" s="1"/>
      <x:c r="K96" s="1"/>
      <x:c r="L96" s="1"/>
      <x:c r="M96" s="1"/>
      <x:c r="N96" s="1"/>
      <x:c r="O96" s="1"/>
      <x:c r="P96" s="1"/>
    </x:row>
    <x:row r="97">
      <x:c r="A97" s="1"/>
      <x:c r="B97" s="1"/>
      <x:c r="C97" s="1"/>
      <x:c r="D97" s="1"/>
      <x:c r="E97" s="1"/>
      <x:c r="F97" s="1"/>
      <x:c r="G97" s="1"/>
      <x:c r="H97" s="1"/>
      <x:c r="I97" s="1"/>
      <x:c r="J97" s="1"/>
      <x:c r="K97" s="1"/>
      <x:c r="L97" s="1"/>
      <x:c r="M97" s="1"/>
      <x:c r="N97" s="1"/>
      <x:c r="O97" s="1"/>
      <x:c r="P97" s="1"/>
    </x:row>
    <x:row r="98">
      <x:c r="A98" s="1"/>
      <x:c r="B98" s="1"/>
      <x:c r="C98" s="1"/>
      <x:c r="D98" s="1"/>
      <x:c r="E98" s="1"/>
      <x:c r="F98" s="1"/>
      <x:c r="G98" s="1"/>
      <x:c r="H98" s="1"/>
      <x:c r="I98" s="1"/>
      <x:c r="J98" s="1"/>
      <x:c r="K98" s="1"/>
      <x:c r="L98" s="1"/>
      <x:c r="M98" s="1"/>
      <x:c r="N98" s="1"/>
      <x:c r="O98" s="1"/>
      <x:c r="P98" s="1"/>
    </x:row>
    <x:row r="99">
      <x:c r="A99" s="1"/>
      <x:c r="B99" s="1"/>
      <x:c r="C99" s="1"/>
      <x:c r="D99" s="1"/>
      <x:c r="E99" s="1"/>
      <x:c r="F99" s="1"/>
      <x:c r="G99" s="1"/>
      <x:c r="H99" s="1"/>
      <x:c r="I99" s="1"/>
      <x:c r="J99" s="1"/>
      <x:c r="K99" s="1"/>
      <x:c r="L99" s="1"/>
      <x:c r="M99" s="1"/>
      <x:c r="N99" s="1"/>
      <x:c r="O99" s="1"/>
      <x:c r="P99" s="1"/>
    </x:row>
    <x:row r="100">
      <x:c r="A100" s="1"/>
      <x:c r="B100" s="1"/>
      <x:c r="C100" s="1"/>
      <x:c r="D100" s="1"/>
      <x:c r="E100" s="1"/>
      <x:c r="F100" s="1"/>
      <x:c r="G100" s="1"/>
      <x:c r="H100" s="1"/>
      <x:c r="I100" s="1"/>
      <x:c r="J100" s="1"/>
      <x:c r="K100" s="1"/>
      <x:c r="L100" s="1"/>
      <x:c r="M100" s="1"/>
      <x:c r="N100" s="1"/>
      <x:c r="O100" s="1"/>
      <x:c r="P100" s="1"/>
    </x:row>
    <x:row r="101">
      <x:c r="A101" s="1"/>
      <x:c r="B101" s="1"/>
      <x:c r="C101" s="1"/>
      <x:c r="D101" s="1"/>
      <x:c r="E101" s="1"/>
      <x:c r="F101" s="1"/>
      <x:c r="G101" s="1"/>
      <x:c r="H101" s="1"/>
      <x:c r="I101" s="1"/>
      <x:c r="J101" s="1"/>
      <x:c r="K101" s="1"/>
      <x:c r="L101" s="1"/>
      <x:c r="M101" s="1"/>
      <x:c r="N101" s="1"/>
      <x:c r="O101" s="1"/>
      <x:c r="P101" s="1"/>
    </x:row>
    <x:row r="102">
      <x:c r="A102" s="1"/>
      <x:c r="B102" s="1"/>
      <x:c r="C102" s="1"/>
      <x:c r="D102" s="1"/>
      <x:c r="E102" s="1"/>
      <x:c r="F102" s="1"/>
      <x:c r="G102" s="1"/>
      <x:c r="H102" s="1"/>
      <x:c r="I102" s="1"/>
      <x:c r="J102" s="1"/>
      <x:c r="K102" s="1"/>
      <x:c r="L102" s="1"/>
      <x:c r="M102" s="1"/>
      <x:c r="N102" s="1"/>
      <x:c r="O102" s="1"/>
      <x:c r="P102" s="1"/>
    </x:row>
    <x:row r="103">
      <x:c r="A103" s="1"/>
      <x:c r="B103" s="1"/>
      <x:c r="C103" s="1"/>
      <x:c r="D103" s="1"/>
      <x:c r="E103" s="1"/>
      <x:c r="F103" s="1"/>
      <x:c r="G103" s="1"/>
      <x:c r="H103" s="1"/>
      <x:c r="I103" s="1"/>
      <x:c r="J103" s="1"/>
      <x:c r="K103" s="1"/>
      <x:c r="L103" s="1"/>
      <x:c r="M103" s="1"/>
      <x:c r="N103" s="1"/>
      <x:c r="O103" s="1"/>
      <x:c r="P103" s="1"/>
    </x:row>
    <x:row r="104">
      <x:c r="A104" s="1"/>
      <x:c r="B104" s="1"/>
      <x:c r="C104" s="1"/>
      <x:c r="D104" s="1"/>
      <x:c r="E104" s="1"/>
      <x:c r="F104" s="1"/>
      <x:c r="G104" s="1"/>
      <x:c r="H104" s="1"/>
      <x:c r="I104" s="1"/>
      <x:c r="J104" s="1"/>
      <x:c r="K104" s="1"/>
      <x:c r="L104" s="1"/>
      <x:c r="M104" s="1"/>
      <x:c r="N104" s="1"/>
      <x:c r="O104" s="1"/>
      <x:c r="P104" s="1"/>
    </x:row>
    <x:row r="105">
      <x:c r="A105" s="1"/>
      <x:c r="B105" s="1"/>
      <x:c r="C105" s="1"/>
      <x:c r="D105" s="1"/>
      <x:c r="E105" s="1"/>
      <x:c r="F105" s="1"/>
      <x:c r="G105" s="1"/>
      <x:c r="H105" s="1"/>
      <x:c r="I105" s="1"/>
      <x:c r="J105" s="1"/>
      <x:c r="K105" s="1"/>
      <x:c r="L105" s="1"/>
      <x:c r="M105" s="1"/>
      <x:c r="N105" s="1"/>
      <x:c r="O105" s="1"/>
      <x:c r="P105" s="1"/>
    </x:row>
    <x:row r="106">
      <x:c r="A106" s="1"/>
      <x:c r="B106" s="1"/>
      <x:c r="C106" s="1"/>
      <x:c r="D106" s="1"/>
      <x:c r="E106" s="1"/>
      <x:c r="F106" s="1"/>
      <x:c r="G106" s="1"/>
      <x:c r="H106" s="1"/>
      <x:c r="I106" s="1"/>
      <x:c r="J106" s="1"/>
      <x:c r="K106" s="1"/>
      <x:c r="L106" s="1"/>
      <x:c r="M106" s="1"/>
      <x:c r="N106" s="1"/>
      <x:c r="O106" s="1"/>
      <x:c r="P106" s="1"/>
    </x:row>
    <x:row r="107">
      <x:c r="A107" s="1"/>
      <x:c r="B107" s="1"/>
      <x:c r="C107" s="1"/>
      <x:c r="D107" s="1"/>
      <x:c r="E107" s="1"/>
      <x:c r="F107" s="1"/>
      <x:c r="G107" s="1"/>
      <x:c r="H107" s="1"/>
      <x:c r="I107" s="1"/>
      <x:c r="J107" s="1"/>
      <x:c r="K107" s="1"/>
      <x:c r="L107" s="1"/>
      <x:c r="M107" s="1"/>
      <x:c r="N107" s="1"/>
      <x:c r="O107" s="1"/>
      <x:c r="P107" s="1"/>
    </x:row>
    <x:row r="108">
      <x:c r="A108" s="1"/>
      <x:c r="B108" s="1"/>
      <x:c r="C108" s="1"/>
      <x:c r="D108" s="1"/>
      <x:c r="E108" s="1"/>
      <x:c r="F108" s="1"/>
      <x:c r="G108" s="1"/>
      <x:c r="H108" s="1"/>
      <x:c r="I108" s="1"/>
      <x:c r="J108" s="1"/>
      <x:c r="K108" s="1"/>
      <x:c r="L108" s="1"/>
      <x:c r="M108" s="1"/>
      <x:c r="N108" s="1"/>
      <x:c r="O108" s="1"/>
      <x:c r="P108" s="1"/>
    </x:row>
    <x:row r="109">
      <x:c r="A109" s="1"/>
      <x:c r="B109" s="1"/>
      <x:c r="C109" s="1"/>
      <x:c r="D109" s="1"/>
      <x:c r="E109" s="1"/>
      <x:c r="F109" s="1"/>
      <x:c r="G109" s="1"/>
      <x:c r="H109" s="1"/>
      <x:c r="I109" s="1"/>
      <x:c r="J109" s="1"/>
      <x:c r="K109" s="1"/>
      <x:c r="L109" s="1"/>
      <x:c r="M109" s="1"/>
      <x:c r="N109" s="1"/>
      <x:c r="O109" s="1"/>
      <x:c r="P109" s="1"/>
    </x:row>
    <x:row r="110">
      <x:c r="A110" s="1"/>
      <x:c r="B110" s="1"/>
      <x:c r="C110" s="1"/>
      <x:c r="D110" s="1"/>
      <x:c r="E110" s="1"/>
      <x:c r="F110" s="1"/>
      <x:c r="G110" s="1"/>
      <x:c r="H110" s="1"/>
      <x:c r="I110" s="1"/>
      <x:c r="J110" s="1"/>
      <x:c r="K110" s="1"/>
      <x:c r="L110" s="1"/>
      <x:c r="M110" s="1"/>
      <x:c r="N110" s="1"/>
      <x:c r="O110" s="1"/>
      <x:c r="P110" s="1"/>
    </x:row>
    <x:row r="111">
      <x:c r="A111" s="1"/>
      <x:c r="B111" s="1"/>
      <x:c r="C111" s="1"/>
      <x:c r="D111" s="1"/>
      <x:c r="E111" s="1"/>
      <x:c r="F111" s="1"/>
      <x:c r="G111" s="1"/>
      <x:c r="H111" s="1"/>
      <x:c r="I111" s="1"/>
      <x:c r="J111" s="1"/>
      <x:c r="K111" s="1"/>
      <x:c r="L111" s="1"/>
      <x:c r="M111" s="1"/>
      <x:c r="N111" s="1"/>
      <x:c r="O111" s="1"/>
      <x:c r="P111" s="1"/>
    </x:row>
    <x:row r="112">
      <x:c r="A112" s="1"/>
      <x:c r="B112" s="1"/>
      <x:c r="C112" s="1"/>
      <x:c r="D112" s="1"/>
      <x:c r="E112" s="1"/>
      <x:c r="F112" s="1"/>
      <x:c r="G112" s="1"/>
      <x:c r="H112" s="1"/>
      <x:c r="I112" s="1"/>
      <x:c r="J112" s="1"/>
      <x:c r="K112" s="1"/>
      <x:c r="L112" s="1"/>
      <x:c r="M112" s="1"/>
      <x:c r="N112" s="1"/>
      <x:c r="O112" s="1"/>
      <x:c r="P112" s="1"/>
    </x:row>
    <x:row r="113">
      <x:c r="A113" s="1"/>
      <x:c r="B113" s="1"/>
      <x:c r="C113" s="1"/>
      <x:c r="D113" s="1"/>
      <x:c r="E113" s="1"/>
      <x:c r="F113" s="1"/>
      <x:c r="G113" s="1"/>
      <x:c r="H113" s="1"/>
      <x:c r="I113" s="1"/>
      <x:c r="J113" s="1"/>
      <x:c r="K113" s="1"/>
      <x:c r="L113" s="1"/>
      <x:c r="M113" s="1"/>
      <x:c r="N113" s="1"/>
      <x:c r="O113" s="1"/>
      <x:c r="P113" s="1"/>
    </x:row>
    <x:row r="114">
      <x:c r="A114" s="1"/>
      <x:c r="B114" s="1"/>
      <x:c r="C114" s="1"/>
      <x:c r="D114" s="1"/>
      <x:c r="E114" s="1"/>
      <x:c r="F114" s="1"/>
      <x:c r="G114" s="1"/>
      <x:c r="H114" s="1"/>
      <x:c r="I114" s="1"/>
      <x:c r="J114" s="1"/>
      <x:c r="K114" s="1"/>
      <x:c r="L114" s="1"/>
      <x:c r="M114" s="1"/>
      <x:c r="N114" s="1"/>
      <x:c r="O114" s="1"/>
      <x:c r="P114" s="1"/>
    </x:row>
    <x:row r="115">
      <x:c r="A115" s="1"/>
      <x:c r="B115" s="1"/>
      <x:c r="C115" s="1"/>
      <x:c r="D115" s="1"/>
      <x:c r="E115" s="1"/>
      <x:c r="F115" s="1"/>
      <x:c r="G115" s="1"/>
      <x:c r="H115" s="1"/>
      <x:c r="I115" s="1"/>
      <x:c r="J115" s="1"/>
      <x:c r="K115" s="1"/>
      <x:c r="L115" s="1"/>
      <x:c r="M115" s="1"/>
      <x:c r="N115" s="1"/>
      <x:c r="O115" s="1"/>
      <x:c r="P115" s="1"/>
    </x:row>
    <x:row r="116">
      <x:c r="A116" s="1"/>
      <x:c r="B116" s="1"/>
      <x:c r="C116" s="1"/>
      <x:c r="D116" s="1"/>
      <x:c r="E116" s="1"/>
      <x:c r="F116" s="1"/>
      <x:c r="G116" s="1"/>
      <x:c r="H116" s="1"/>
      <x:c r="I116" s="1"/>
      <x:c r="J116" s="1"/>
      <x:c r="K116" s="1"/>
      <x:c r="L116" s="1"/>
      <x:c r="M116" s="1"/>
      <x:c r="N116" s="1"/>
      <x:c r="O116" s="1"/>
      <x:c r="P116" s="1"/>
    </x:row>
    <x:row r="117">
      <x:c r="A117" s="1"/>
      <x:c r="B117" s="1"/>
      <x:c r="C117" s="1"/>
      <x:c r="D117" s="1"/>
      <x:c r="E117" s="1"/>
      <x:c r="F117" s="1"/>
      <x:c r="G117" s="1"/>
      <x:c r="H117" s="1"/>
      <x:c r="I117" s="1"/>
      <x:c r="J117" s="1"/>
      <x:c r="K117" s="1"/>
      <x:c r="L117" s="1"/>
      <x:c r="M117" s="1"/>
      <x:c r="N117" s="1"/>
      <x:c r="O117" s="1"/>
      <x:c r="P117" s="1"/>
    </x:row>
    <x:row r="118">
      <x:c r="A118" s="1"/>
      <x:c r="B118" s="1"/>
      <x:c r="C118" s="1"/>
      <x:c r="D118" s="1"/>
      <x:c r="E118" s="1"/>
      <x:c r="F118" s="1"/>
      <x:c r="G118" s="1"/>
      <x:c r="H118" s="1"/>
      <x:c r="I118" s="1"/>
      <x:c r="J118" s="1"/>
      <x:c r="K118" s="1"/>
      <x:c r="L118" s="1"/>
      <x:c r="M118" s="1"/>
      <x:c r="N118" s="1"/>
      <x:c r="O118" s="1"/>
      <x:c r="P118" s="1"/>
    </x:row>
    <x:row r="119">
      <x:c r="A119" s="1"/>
      <x:c r="B119" s="1"/>
      <x:c r="C119" s="1"/>
      <x:c r="D119" s="1"/>
      <x:c r="E119" s="1"/>
      <x:c r="F119" s="1"/>
      <x:c r="G119" s="1"/>
      <x:c r="H119" s="1"/>
      <x:c r="I119" s="1"/>
      <x:c r="J119" s="1"/>
      <x:c r="K119" s="1"/>
      <x:c r="L119" s="1"/>
      <x:c r="M119" s="1"/>
      <x:c r="N119" s="1"/>
      <x:c r="O119" s="1"/>
      <x:c r="P119" s="1"/>
    </x:row>
    <x:row r="120">
      <x:c r="A120" s="1"/>
      <x:c r="B120" s="1"/>
      <x:c r="C120" s="1"/>
      <x:c r="D120" s="1"/>
      <x:c r="E120" s="1"/>
      <x:c r="F120" s="1"/>
      <x:c r="G120" s="1"/>
      <x:c r="H120" s="1"/>
      <x:c r="I120" s="1"/>
      <x:c r="J120" s="1"/>
      <x:c r="K120" s="1"/>
      <x:c r="L120" s="1"/>
      <x:c r="M120" s="1"/>
      <x:c r="N120" s="1"/>
      <x:c r="O120" s="1"/>
      <x:c r="P120" s="1"/>
    </x:row>
  </x:sheetData>
  <x:pageMargins left="0.7" right="0.7" top="0.75" bottom="0.75" header="0.3" footer="0.3"/>
  <x:tableParts count="1">
    <x:tablePart xmlns:r="http://schemas.openxmlformats.org/officeDocument/2006/relationships" r:id="R2856e5141741404a"/>
  </x:tableParts>
</x:worksheet>
</file>

<file path=xl/worksheets/sheet17.xml><?xml version="1.0" encoding="utf-8"?>
<x:worksheet xmlns:x="http://schemas.openxmlformats.org/spreadsheetml/2006/main">
  <x:sheetFormatPr defaultRowHeight="14.25"/>
  <x:cols>
    <x:col min="1" max="1" width="16" customWidth="1"/>
    <x:col min="2" max="2" width="18" customWidth="1"/>
    <x:col min="3" max="3" width="34" customWidth="1"/>
    <x:col min="4" max="5" width="28" customWidth="1"/>
    <x:col min="6" max="7" width="14" customWidth="1"/>
    <x:col min="8" max="8" width="16" customWidth="1"/>
    <x:col min="9" max="9" width="18" customWidth="1"/>
    <x:col min="10" max="10" width="40" customWidth="1"/>
    <x:col min="11" max="11" width="50" customWidth="1"/>
  </x:cols>
  <x:sheetData>
    <x:row r="1" ht="36" customHeight="1">
      <x:c r="A1" s="4" t="s">
        <x:v>703</x:v>
      </x:c>
      <x:c r="B1" s="4" t="s">
        <x:v>704</x:v>
      </x:c>
      <x:c r="C1" s="4" t="s">
        <x:v>214</x:v>
      </x:c>
      <x:c r="D1" s="4" t="s">
        <x:v>215</x:v>
      </x:c>
      <x:c r="E1" s="4" t="s">
        <x:v>705</x:v>
      </x:c>
      <x:c r="F1" s="4" t="s">
        <x:v>217</x:v>
      </x:c>
      <x:c r="G1" s="4" t="s">
        <x:v>218</x:v>
      </x:c>
      <x:c r="H1" s="4" t="s">
        <x:v>706</x:v>
      </x:c>
      <x:c r="I1" s="4" t="s">
        <x:v>160</x:v>
      </x:c>
      <x:c r="J1" s="4" t="s">
        <x:v>161</x:v>
      </x:c>
      <x:c r="K1" s="4" t="s">
        <x:v>657</x:v>
      </x:c>
      <x:c r="L1" s="1"/>
      <x:c r="M1" s="1"/>
      <x:c r="N1" s="1"/>
      <x:c r="O1" s="1"/>
      <x:c r="P1" s="1"/>
    </x:row>
    <x:row r="2" ht="15" customHeight="1">
      <x:c r="A2" s="16" t="s">
        <x:v>707</x:v>
      </x:c>
      <x:c r="B2" s="16" t="s">
        <x:v>255</x:v>
      </x:c>
      <x:c r="C2" s="16" t="s">
        <x:v>708</x:v>
      </x:c>
      <x:c r="D2" s="16" t="s">
        <x:v>709</x:v>
      </x:c>
      <x:c r="E2" s="16" t="s">
        <x:v>710</x:v>
      </x:c>
      <x:c r="F2" s="20">
        <x:v>0.17100000000000001</x:v>
      </x:c>
      <x:c r="G2" s="20">
        <x:v>6.5000000000000002E-2</x:v>
      </x:c>
      <x:c r="H2" s="17" t="s">
        <x:v>246</x:v>
      </x:c>
      <x:c r="I2" s="17" t="s">
        <x:v>259</x:v>
      </x:c>
      <x:c r="J2" s="16" t="s">
        <x:v>248</x:v>
      </x:c>
      <x:c r="K2" s="16" t="s">
        <x:v>711</x:v>
      </x:c>
      <x:c r="L2" s="1"/>
      <x:c r="M2" s="1"/>
      <x:c r="N2" s="1"/>
      <x:c r="O2" s="1"/>
      <x:c r="P2" s="1"/>
    </x:row>
    <x:row r="3" ht="15" customHeight="1">
      <x:c r="A3" s="18" t="s">
        <x:v>712</x:v>
      </x:c>
      <x:c r="B3" s="18" t="s">
        <x:v>255</x:v>
      </x:c>
      <x:c r="C3" s="18" t="s">
        <x:v>708</x:v>
      </x:c>
      <x:c r="D3" s="18" t="s">
        <x:v>713</x:v>
      </x:c>
      <x:c r="E3" s="18" t="s">
        <x:v>710</x:v>
      </x:c>
      <x:c r="F3" s="21">
        <x:v>0.17100000000000001</x:v>
      </x:c>
      <x:c r="G3" s="21">
        <x:v>4.4999999999999998E-2</x:v>
      </x:c>
      <x:c r="H3" s="19" t="s">
        <x:v>246</x:v>
      </x:c>
      <x:c r="I3" s="19" t="s">
        <x:v>325</x:v>
      </x:c>
      <x:c r="J3" s="18" t="s">
        <x:v>248</x:v>
      </x:c>
      <x:c r="K3" s="18" t="s">
        <x:v>714</x:v>
      </x:c>
      <x:c r="L3" s="1"/>
      <x:c r="M3" s="1"/>
      <x:c r="N3" s="1"/>
      <x:c r="O3" s="1"/>
      <x:c r="P3" s="1"/>
    </x:row>
    <x:row r="4" ht="15" customHeight="1">
      <x:c r="A4" s="16" t="s">
        <x:v>715</x:v>
      </x:c>
      <x:c r="B4" s="16" t="s">
        <x:v>716</x:v>
      </x:c>
      <x:c r="C4" s="16" t="s">
        <x:v>717</x:v>
      </x:c>
      <x:c r="D4" s="16" t="s">
        <x:v>718</x:v>
      </x:c>
      <x:c r="E4" s="16" t="s">
        <x:v>710</x:v>
      </x:c>
      <x:c r="F4" s="20">
        <x:v>0.17100000000000001</x:v>
      </x:c>
      <x:c r="G4" s="20">
        <x:v>0</x:v>
      </x:c>
      <x:c r="H4" s="17" t="s">
        <x:v>246</x:v>
      </x:c>
      <x:c r="I4" s="17" t="s">
        <x:v>247</x:v>
      </x:c>
      <x:c r="J4" s="16" t="s">
        <x:v>248</x:v>
      </x:c>
      <x:c r="K4" s="16" t="s">
        <x:v>719</x:v>
      </x:c>
      <x:c r="L4" s="1"/>
      <x:c r="M4" s="1"/>
      <x:c r="N4" s="1"/>
      <x:c r="O4" s="1"/>
      <x:c r="P4" s="1"/>
    </x:row>
    <x:row r="5" ht="15" customHeight="1">
      <x:c r="A5" s="18" t="s">
        <x:v>720</x:v>
      </x:c>
      <x:c r="B5" s="18" t="s">
        <x:v>231</x:v>
      </x:c>
      <x:c r="C5" s="18" t="s">
        <x:v>721</x:v>
      </x:c>
      <x:c r="D5" s="18" t="s">
        <x:v>722</x:v>
      </x:c>
      <x:c r="E5" s="18" t="s">
        <x:v>723</x:v>
      </x:c>
      <x:c r="F5" s="21">
        <x:v>1.5</x:v>
      </x:c>
      <x:c r="G5" s="21">
        <x:v>1</x:v>
      </x:c>
      <x:c r="H5" s="19" t="s">
        <x:v>235</x:v>
      </x:c>
      <x:c r="I5" s="19" t="s">
        <x:v>236</x:v>
      </x:c>
      <x:c r="J5" s="18" t="s">
        <x:v>227</x:v>
      </x:c>
      <x:c r="K5" s="18" t="s">
        <x:v>724</x:v>
      </x:c>
      <x:c r="L5" s="1"/>
      <x:c r="M5" s="1"/>
      <x:c r="N5" s="1"/>
      <x:c r="O5" s="1"/>
      <x:c r="P5" s="1"/>
    </x:row>
    <x:row r="6" ht="15" customHeight="1">
      <x:c r="A6" s="16" t="s">
        <x:v>725</x:v>
      </x:c>
      <x:c r="B6" s="16" t="s">
        <x:v>393</x:v>
      </x:c>
      <x:c r="C6" s="16" t="s">
        <x:v>726</x:v>
      </x:c>
      <x:c r="D6" s="16" t="s">
        <x:v>727</x:v>
      </x:c>
      <x:c r="E6" s="16" t="s">
        <x:v>728</x:v>
      </x:c>
      <x:c r="F6" s="20">
        <x:v>8</x:v>
      </x:c>
      <x:c r="G6" s="20">
        <x:v>6.5</x:v>
      </x:c>
      <x:c r="H6" s="17" t="s">
        <x:v>267</x:v>
      </x:c>
      <x:c r="I6" s="17" t="s">
        <x:v>268</x:v>
      </x:c>
      <x:c r="J6" s="16" t="s">
        <x:v>227</x:v>
      </x:c>
      <x:c r="K6" s="16" t="s">
        <x:v>729</x:v>
      </x:c>
      <x:c r="L6" s="1"/>
      <x:c r="M6" s="1"/>
      <x:c r="N6" s="1"/>
      <x:c r="O6" s="1"/>
      <x:c r="P6" s="1"/>
    </x:row>
    <x:row r="7" ht="15" customHeight="1">
      <x:c r="A7" s="18" t="s">
        <x:v>730</x:v>
      </x:c>
      <x:c r="B7" s="18" t="s">
        <x:v>716</x:v>
      </x:c>
      <x:c r="C7" s="18" t="s">
        <x:v>731</x:v>
      </x:c>
      <x:c r="D7" s="18" t="s">
        <x:v>732</x:v>
      </x:c>
      <x:c r="E7" s="18" t="s">
        <x:v>733</x:v>
      </x:c>
      <x:c r="F7" s="21">
        <x:v>0.6</x:v>
      </x:c>
      <x:c r="G7" s="21">
        <x:v>0.25</x:v>
      </x:c>
      <x:c r="H7" s="19" t="s">
        <x:v>225</x:v>
      </x:c>
      <x:c r="I7" s="19" t="s">
        <x:v>226</x:v>
      </x:c>
      <x:c r="J7" s="18" t="s">
        <x:v>227</x:v>
      </x:c>
      <x:c r="K7" s="18" t="s">
        <x:v>734</x:v>
      </x:c>
      <x:c r="L7" s="1"/>
      <x:c r="M7" s="1"/>
      <x:c r="N7" s="1"/>
      <x:c r="O7" s="1"/>
      <x:c r="P7" s="1"/>
    </x:row>
    <x:row r="8">
      <x:c r="A8" s="1"/>
      <x:c r="B8" s="1"/>
      <x:c r="C8" s="1"/>
      <x:c r="D8" s="1"/>
      <x:c r="E8" s="1"/>
      <x:c r="F8" s="1"/>
      <x:c r="G8" s="1"/>
      <x:c r="H8" s="1"/>
      <x:c r="I8" s="1"/>
      <x:c r="J8" s="1"/>
      <x:c r="K8" s="1"/>
      <x:c r="L8" s="1"/>
      <x:c r="M8" s="1"/>
      <x:c r="N8" s="1"/>
      <x:c r="O8" s="1"/>
      <x:c r="P8" s="1"/>
    </x:row>
    <x:row r="9">
      <x:c r="A9" s="1"/>
      <x:c r="B9" s="1"/>
      <x:c r="C9" s="1"/>
      <x:c r="D9" s="1"/>
      <x:c r="E9" s="1"/>
      <x:c r="F9" s="1"/>
      <x:c r="G9" s="1"/>
      <x:c r="H9" s="1"/>
      <x:c r="I9" s="1"/>
      <x:c r="J9" s="1"/>
      <x:c r="K9" s="1"/>
      <x:c r="L9" s="1"/>
      <x:c r="M9" s="1"/>
      <x:c r="N9" s="1"/>
      <x:c r="O9" s="1"/>
      <x:c r="P9" s="1"/>
    </x:row>
    <x:row r="10">
      <x:c r="A10" s="1"/>
      <x:c r="B10" s="1"/>
      <x:c r="C10" s="1"/>
      <x:c r="D10" s="1"/>
      <x:c r="E10" s="1"/>
      <x:c r="F10" s="1"/>
      <x:c r="G10" s="1"/>
      <x:c r="H10" s="1"/>
      <x:c r="I10" s="1"/>
      <x:c r="J10" s="1"/>
      <x:c r="K10" s="1"/>
      <x:c r="L10" s="1"/>
      <x:c r="M10" s="1"/>
      <x:c r="N10" s="1"/>
      <x:c r="O10" s="1"/>
      <x:c r="P10" s="1"/>
    </x:row>
    <x:row r="11">
      <x:c r="A11" s="1"/>
      <x:c r="B11" s="1"/>
      <x:c r="C11" s="1"/>
      <x:c r="D11" s="1"/>
      <x:c r="E11" s="1"/>
      <x:c r="F11" s="1"/>
      <x:c r="G11" s="1"/>
      <x:c r="H11" s="1"/>
      <x:c r="I11" s="1"/>
      <x:c r="J11" s="1"/>
      <x:c r="K11" s="1"/>
      <x:c r="L11" s="1"/>
      <x:c r="M11" s="1"/>
      <x:c r="N11" s="1"/>
      <x:c r="O11" s="1"/>
      <x:c r="P11" s="1"/>
    </x:row>
    <x:row r="12">
      <x:c r="A12" s="1"/>
      <x:c r="B12" s="1"/>
      <x:c r="C12" s="1"/>
      <x:c r="D12" s="1"/>
      <x:c r="E12" s="1"/>
      <x:c r="F12" s="1"/>
      <x:c r="G12" s="1"/>
      <x:c r="H12" s="1"/>
      <x:c r="I12" s="1"/>
      <x:c r="J12" s="1"/>
      <x:c r="K12" s="1"/>
      <x:c r="L12" s="1"/>
      <x:c r="M12" s="1"/>
      <x:c r="N12" s="1"/>
      <x:c r="O12" s="1"/>
      <x:c r="P12" s="1"/>
    </x:row>
    <x:row r="13">
      <x:c r="A13" s="1"/>
      <x:c r="B13" s="1"/>
      <x:c r="C13" s="1"/>
      <x:c r="D13" s="1"/>
      <x:c r="E13" s="1"/>
      <x:c r="F13" s="1"/>
      <x:c r="G13" s="1"/>
      <x:c r="H13" s="1"/>
      <x:c r="I13" s="1"/>
      <x:c r="J13" s="1"/>
      <x:c r="K13" s="1"/>
      <x:c r="L13" s="1"/>
      <x:c r="M13" s="1"/>
      <x:c r="N13" s="1"/>
      <x:c r="O13" s="1"/>
      <x:c r="P13" s="1"/>
    </x:row>
    <x:row r="14">
      <x:c r="A14" s="1"/>
      <x:c r="B14" s="1"/>
      <x:c r="C14" s="1"/>
      <x:c r="D14" s="1"/>
      <x:c r="E14" s="1"/>
      <x:c r="F14" s="1"/>
      <x:c r="G14" s="1"/>
      <x:c r="H14" s="1"/>
      <x:c r="I14" s="1"/>
      <x:c r="J14" s="1"/>
      <x:c r="K14" s="1"/>
      <x:c r="L14" s="1"/>
      <x:c r="M14" s="1"/>
      <x:c r="N14" s="1"/>
      <x:c r="O14" s="1"/>
      <x:c r="P14" s="1"/>
    </x:row>
    <x:row r="15">
      <x:c r="A15" s="1"/>
      <x:c r="B15" s="1"/>
      <x:c r="C15" s="1"/>
      <x:c r="D15" s="1"/>
      <x:c r="E15" s="1"/>
      <x:c r="F15" s="1"/>
      <x:c r="G15" s="1"/>
      <x:c r="H15" s="1"/>
      <x:c r="I15" s="1"/>
      <x:c r="J15" s="1"/>
      <x:c r="K15" s="1"/>
      <x:c r="L15" s="1"/>
      <x:c r="M15" s="1"/>
      <x:c r="N15" s="1"/>
      <x:c r="O15" s="1"/>
      <x:c r="P15" s="1"/>
    </x:row>
    <x:row r="16">
      <x:c r="A16" s="1"/>
      <x:c r="B16" s="1"/>
      <x:c r="C16" s="1"/>
      <x:c r="D16" s="1"/>
      <x:c r="E16" s="1"/>
      <x:c r="F16" s="1"/>
      <x:c r="G16" s="1"/>
      <x:c r="H16" s="1"/>
      <x:c r="I16" s="1"/>
      <x:c r="J16" s="1"/>
      <x:c r="K16" s="1"/>
      <x:c r="L16" s="1"/>
      <x:c r="M16" s="1"/>
      <x:c r="N16" s="1"/>
      <x:c r="O16" s="1"/>
      <x:c r="P16" s="1"/>
    </x:row>
    <x:row r="17">
      <x:c r="A17" s="1"/>
      <x:c r="B17" s="1"/>
      <x:c r="C17" s="1"/>
      <x:c r="D17" s="1"/>
      <x:c r="E17" s="1"/>
      <x:c r="F17" s="1"/>
      <x:c r="G17" s="1"/>
      <x:c r="H17" s="1"/>
      <x:c r="I17" s="1"/>
      <x:c r="J17" s="1"/>
      <x:c r="K17" s="1"/>
      <x:c r="L17" s="1"/>
      <x:c r="M17" s="1"/>
      <x:c r="N17" s="1"/>
      <x:c r="O17" s="1"/>
      <x:c r="P17" s="1"/>
    </x:row>
    <x:row r="18">
      <x:c r="A18" s="1"/>
      <x:c r="B18" s="1"/>
      <x:c r="C18" s="1"/>
      <x:c r="D18" s="1"/>
      <x:c r="E18" s="1"/>
      <x:c r="F18" s="1"/>
      <x:c r="G18" s="1"/>
      <x:c r="H18" s="1"/>
      <x:c r="I18" s="1"/>
      <x:c r="J18" s="1"/>
      <x:c r="K18" s="1"/>
      <x:c r="L18" s="1"/>
      <x:c r="M18" s="1"/>
      <x:c r="N18" s="1"/>
      <x:c r="O18" s="1"/>
      <x:c r="P18" s="1"/>
    </x:row>
    <x:row r="19">
      <x:c r="A19" s="1"/>
      <x:c r="B19" s="1"/>
      <x:c r="C19" s="1"/>
      <x:c r="D19" s="1"/>
      <x:c r="E19" s="1"/>
      <x:c r="F19" s="1"/>
      <x:c r="G19" s="1"/>
      <x:c r="H19" s="1"/>
      <x:c r="I19" s="1"/>
      <x:c r="J19" s="1"/>
      <x:c r="K19" s="1"/>
      <x:c r="L19" s="1"/>
      <x:c r="M19" s="1"/>
      <x:c r="N19" s="1"/>
      <x:c r="O19" s="1"/>
      <x:c r="P19" s="1"/>
    </x:row>
    <x:row r="20">
      <x:c r="A20" s="1"/>
      <x:c r="B20" s="1"/>
      <x:c r="C20" s="1"/>
      <x:c r="D20" s="1"/>
      <x:c r="E20" s="1"/>
      <x:c r="F20" s="1"/>
      <x:c r="G20" s="1"/>
      <x:c r="H20" s="1"/>
      <x:c r="I20" s="1"/>
      <x:c r="J20" s="1"/>
      <x:c r="K20" s="1"/>
      <x:c r="L20" s="1"/>
      <x:c r="M20" s="1"/>
      <x:c r="N20" s="1"/>
      <x:c r="O20" s="1"/>
      <x:c r="P20" s="1"/>
    </x:row>
    <x:row r="21">
      <x:c r="A21" s="1"/>
      <x:c r="B21" s="1"/>
      <x:c r="C21" s="1"/>
      <x:c r="D21" s="1"/>
      <x:c r="E21" s="1"/>
      <x:c r="F21" s="1"/>
      <x:c r="G21" s="1"/>
      <x:c r="H21" s="1"/>
      <x:c r="I21" s="1"/>
      <x:c r="J21" s="1"/>
      <x:c r="K21" s="1"/>
      <x:c r="L21" s="1"/>
      <x:c r="M21" s="1"/>
      <x:c r="N21" s="1"/>
      <x:c r="O21" s="1"/>
      <x:c r="P21" s="1"/>
    </x:row>
    <x:row r="22">
      <x:c r="A22" s="1"/>
      <x:c r="B22" s="1"/>
      <x:c r="C22" s="1"/>
      <x:c r="D22" s="1"/>
      <x:c r="E22" s="1"/>
      <x:c r="F22" s="1"/>
      <x:c r="G22" s="1"/>
      <x:c r="H22" s="1"/>
      <x:c r="I22" s="1"/>
      <x:c r="J22" s="1"/>
      <x:c r="K22" s="1"/>
      <x:c r="L22" s="1"/>
      <x:c r="M22" s="1"/>
      <x:c r="N22" s="1"/>
      <x:c r="O22" s="1"/>
      <x:c r="P22" s="1"/>
    </x:row>
    <x:row r="23">
      <x:c r="A23" s="1"/>
      <x:c r="B23" s="1"/>
      <x:c r="C23" s="1"/>
      <x:c r="D23" s="1"/>
      <x:c r="E23" s="1"/>
      <x:c r="F23" s="1"/>
      <x:c r="G23" s="1"/>
      <x:c r="H23" s="1"/>
      <x:c r="I23" s="1"/>
      <x:c r="J23" s="1"/>
      <x:c r="K23" s="1"/>
      <x:c r="L23" s="1"/>
      <x:c r="M23" s="1"/>
      <x:c r="N23" s="1"/>
      <x:c r="O23" s="1"/>
      <x:c r="P23" s="1"/>
    </x:row>
    <x:row r="24">
      <x:c r="A24" s="1"/>
      <x:c r="B24" s="1"/>
      <x:c r="C24" s="1"/>
      <x:c r="D24" s="1"/>
      <x:c r="E24" s="1"/>
      <x:c r="F24" s="1"/>
      <x:c r="G24" s="1"/>
      <x:c r="H24" s="1"/>
      <x:c r="I24" s="1"/>
      <x:c r="J24" s="1"/>
      <x:c r="K24" s="1"/>
      <x:c r="L24" s="1"/>
      <x:c r="M24" s="1"/>
      <x:c r="N24" s="1"/>
      <x:c r="O24" s="1"/>
      <x:c r="P24" s="1"/>
    </x:row>
    <x:row r="25">
      <x:c r="A25" s="1"/>
      <x:c r="B25" s="1"/>
      <x:c r="C25" s="1"/>
      <x:c r="D25" s="1"/>
      <x:c r="E25" s="1"/>
      <x:c r="F25" s="1"/>
      <x:c r="G25" s="1"/>
      <x:c r="H25" s="1"/>
      <x:c r="I25" s="1"/>
      <x:c r="J25" s="1"/>
      <x:c r="K25" s="1"/>
      <x:c r="L25" s="1"/>
      <x:c r="M25" s="1"/>
      <x:c r="N25" s="1"/>
      <x:c r="O25" s="1"/>
      <x:c r="P25" s="1"/>
    </x:row>
    <x:row r="26">
      <x:c r="A26" s="1"/>
      <x:c r="B26" s="1"/>
      <x:c r="C26" s="1"/>
      <x:c r="D26" s="1"/>
      <x:c r="E26" s="1"/>
      <x:c r="F26" s="1"/>
      <x:c r="G26" s="1"/>
      <x:c r="H26" s="1"/>
      <x:c r="I26" s="1"/>
      <x:c r="J26" s="1"/>
      <x:c r="K26" s="1"/>
      <x:c r="L26" s="1"/>
      <x:c r="M26" s="1"/>
      <x:c r="N26" s="1"/>
      <x:c r="O26" s="1"/>
      <x:c r="P26" s="1"/>
    </x:row>
    <x:row r="27">
      <x:c r="A27" s="1"/>
      <x:c r="B27" s="1"/>
      <x:c r="C27" s="1"/>
      <x:c r="D27" s="1"/>
      <x:c r="E27" s="1"/>
      <x:c r="F27" s="1"/>
      <x:c r="G27" s="1"/>
      <x:c r="H27" s="1"/>
      <x:c r="I27" s="1"/>
      <x:c r="J27" s="1"/>
      <x:c r="K27" s="1"/>
      <x:c r="L27" s="1"/>
      <x:c r="M27" s="1"/>
      <x:c r="N27" s="1"/>
      <x:c r="O27" s="1"/>
      <x:c r="P27" s="1"/>
    </x:row>
    <x:row r="28">
      <x:c r="A28" s="1"/>
      <x:c r="B28" s="1"/>
      <x:c r="C28" s="1"/>
      <x:c r="D28" s="1"/>
      <x:c r="E28" s="1"/>
      <x:c r="F28" s="1"/>
      <x:c r="G28" s="1"/>
      <x:c r="H28" s="1"/>
      <x:c r="I28" s="1"/>
      <x:c r="J28" s="1"/>
      <x:c r="K28" s="1"/>
      <x:c r="L28" s="1"/>
      <x:c r="M28" s="1"/>
      <x:c r="N28" s="1"/>
      <x:c r="O28" s="1"/>
      <x:c r="P28" s="1"/>
    </x:row>
    <x:row r="29">
      <x:c r="A29" s="1"/>
      <x:c r="B29" s="1"/>
      <x:c r="C29" s="1"/>
      <x:c r="D29" s="1"/>
      <x:c r="E29" s="1"/>
      <x:c r="F29" s="1"/>
      <x:c r="G29" s="1"/>
      <x:c r="H29" s="1"/>
      <x:c r="I29" s="1"/>
      <x:c r="J29" s="1"/>
      <x:c r="K29" s="1"/>
      <x:c r="L29" s="1"/>
      <x:c r="M29" s="1"/>
      <x:c r="N29" s="1"/>
      <x:c r="O29" s="1"/>
      <x:c r="P29" s="1"/>
    </x:row>
    <x:row r="30">
      <x:c r="A30" s="1"/>
      <x:c r="B30" s="1"/>
      <x:c r="C30" s="1"/>
      <x:c r="D30" s="1"/>
      <x:c r="E30" s="1"/>
      <x:c r="F30" s="1"/>
      <x:c r="G30" s="1"/>
      <x:c r="H30" s="1"/>
      <x:c r="I30" s="1"/>
      <x:c r="J30" s="1"/>
      <x:c r="K30" s="1"/>
      <x:c r="L30" s="1"/>
      <x:c r="M30" s="1"/>
      <x:c r="N30" s="1"/>
      <x:c r="O30" s="1"/>
      <x:c r="P30" s="1"/>
    </x:row>
    <x:row r="31">
      <x:c r="A31" s="1"/>
      <x:c r="B31" s="1"/>
      <x:c r="C31" s="1"/>
      <x:c r="D31" s="1"/>
      <x:c r="E31" s="1"/>
      <x:c r="F31" s="1"/>
      <x:c r="G31" s="1"/>
      <x:c r="H31" s="1"/>
      <x:c r="I31" s="1"/>
      <x:c r="J31" s="1"/>
      <x:c r="K31" s="1"/>
      <x:c r="L31" s="1"/>
      <x:c r="M31" s="1"/>
      <x:c r="N31" s="1"/>
      <x:c r="O31" s="1"/>
      <x:c r="P31" s="1"/>
    </x:row>
    <x:row r="32">
      <x:c r="A32" s="1"/>
      <x:c r="B32" s="1"/>
      <x:c r="C32" s="1"/>
      <x:c r="D32" s="1"/>
      <x:c r="E32" s="1"/>
      <x:c r="F32" s="1"/>
      <x:c r="G32" s="1"/>
      <x:c r="H32" s="1"/>
      <x:c r="I32" s="1"/>
      <x:c r="J32" s="1"/>
      <x:c r="K32" s="1"/>
      <x:c r="L32" s="1"/>
      <x:c r="M32" s="1"/>
      <x:c r="N32" s="1"/>
      <x:c r="O32" s="1"/>
      <x:c r="P32" s="1"/>
    </x:row>
    <x:row r="33">
      <x:c r="A33" s="1"/>
      <x:c r="B33" s="1"/>
      <x:c r="C33" s="1"/>
      <x:c r="D33" s="1"/>
      <x:c r="E33" s="1"/>
      <x:c r="F33" s="1"/>
      <x:c r="G33" s="1"/>
      <x:c r="H33" s="1"/>
      <x:c r="I33" s="1"/>
      <x:c r="J33" s="1"/>
      <x:c r="K33" s="1"/>
      <x:c r="L33" s="1"/>
      <x:c r="M33" s="1"/>
      <x:c r="N33" s="1"/>
      <x:c r="O33" s="1"/>
      <x:c r="P33" s="1"/>
    </x:row>
    <x:row r="34">
      <x:c r="A34" s="1"/>
      <x:c r="B34" s="1"/>
      <x:c r="C34" s="1"/>
      <x:c r="D34" s="1"/>
      <x:c r="E34" s="1"/>
      <x:c r="F34" s="1"/>
      <x:c r="G34" s="1"/>
      <x:c r="H34" s="1"/>
      <x:c r="I34" s="1"/>
      <x:c r="J34" s="1"/>
      <x:c r="K34" s="1"/>
      <x:c r="L34" s="1"/>
      <x:c r="M34" s="1"/>
      <x:c r="N34" s="1"/>
      <x:c r="O34" s="1"/>
      <x:c r="P34" s="1"/>
    </x:row>
    <x:row r="35">
      <x:c r="A35" s="1"/>
      <x:c r="B35" s="1"/>
      <x:c r="C35" s="1"/>
      <x:c r="D35" s="1"/>
      <x:c r="E35" s="1"/>
      <x:c r="F35" s="1"/>
      <x:c r="G35" s="1"/>
      <x:c r="H35" s="1"/>
      <x:c r="I35" s="1"/>
      <x:c r="J35" s="1"/>
      <x:c r="K35" s="1"/>
      <x:c r="L35" s="1"/>
      <x:c r="M35" s="1"/>
      <x:c r="N35" s="1"/>
      <x:c r="O35" s="1"/>
      <x:c r="P35" s="1"/>
    </x:row>
    <x:row r="36">
      <x:c r="A36" s="1"/>
      <x:c r="B36" s="1"/>
      <x:c r="C36" s="1"/>
      <x:c r="D36" s="1"/>
      <x:c r="E36" s="1"/>
      <x:c r="F36" s="1"/>
      <x:c r="G36" s="1"/>
      <x:c r="H36" s="1"/>
      <x:c r="I36" s="1"/>
      <x:c r="J36" s="1"/>
      <x:c r="K36" s="1"/>
      <x:c r="L36" s="1"/>
      <x:c r="M36" s="1"/>
      <x:c r="N36" s="1"/>
      <x:c r="O36" s="1"/>
      <x:c r="P36" s="1"/>
    </x:row>
    <x:row r="37">
      <x:c r="A37" s="1"/>
      <x:c r="B37" s="1"/>
      <x:c r="C37" s="1"/>
      <x:c r="D37" s="1"/>
      <x:c r="E37" s="1"/>
      <x:c r="F37" s="1"/>
      <x:c r="G37" s="1"/>
      <x:c r="H37" s="1"/>
      <x:c r="I37" s="1"/>
      <x:c r="J37" s="1"/>
      <x:c r="K37" s="1"/>
      <x:c r="L37" s="1"/>
      <x:c r="M37" s="1"/>
      <x:c r="N37" s="1"/>
      <x:c r="O37" s="1"/>
      <x:c r="P37" s="1"/>
    </x:row>
    <x:row r="38">
      <x:c r="A38" s="1"/>
      <x:c r="B38" s="1"/>
      <x:c r="C38" s="1"/>
      <x:c r="D38" s="1"/>
      <x:c r="E38" s="1"/>
      <x:c r="F38" s="1"/>
      <x:c r="G38" s="1"/>
      <x:c r="H38" s="1"/>
      <x:c r="I38" s="1"/>
      <x:c r="J38" s="1"/>
      <x:c r="K38" s="1"/>
      <x:c r="L38" s="1"/>
      <x:c r="M38" s="1"/>
      <x:c r="N38" s="1"/>
      <x:c r="O38" s="1"/>
      <x:c r="P38" s="1"/>
    </x:row>
    <x:row r="39">
      <x:c r="A39" s="1"/>
      <x:c r="B39" s="1"/>
      <x:c r="C39" s="1"/>
      <x:c r="D39" s="1"/>
      <x:c r="E39" s="1"/>
      <x:c r="F39" s="1"/>
      <x:c r="G39" s="1"/>
      <x:c r="H39" s="1"/>
      <x:c r="I39" s="1"/>
      <x:c r="J39" s="1"/>
      <x:c r="K39" s="1"/>
      <x:c r="L39" s="1"/>
      <x:c r="M39" s="1"/>
      <x:c r="N39" s="1"/>
      <x:c r="O39" s="1"/>
      <x:c r="P39" s="1"/>
    </x:row>
    <x:row r="40">
      <x:c r="A40" s="1"/>
      <x:c r="B40" s="1"/>
      <x:c r="C40" s="1"/>
      <x:c r="D40" s="1"/>
      <x:c r="E40" s="1"/>
      <x:c r="F40" s="1"/>
      <x:c r="G40" s="1"/>
      <x:c r="H40" s="1"/>
      <x:c r="I40" s="1"/>
      <x:c r="J40" s="1"/>
      <x:c r="K40" s="1"/>
      <x:c r="L40" s="1"/>
      <x:c r="M40" s="1"/>
      <x:c r="N40" s="1"/>
      <x:c r="O40" s="1"/>
      <x:c r="P40" s="1"/>
    </x:row>
    <x:row r="41">
      <x:c r="A41" s="1"/>
      <x:c r="B41" s="1"/>
      <x:c r="C41" s="1"/>
      <x:c r="D41" s="1"/>
      <x:c r="E41" s="1"/>
      <x:c r="F41" s="1"/>
      <x:c r="G41" s="1"/>
      <x:c r="H41" s="1"/>
      <x:c r="I41" s="1"/>
      <x:c r="J41" s="1"/>
      <x:c r="K41" s="1"/>
      <x:c r="L41" s="1"/>
      <x:c r="M41" s="1"/>
      <x:c r="N41" s="1"/>
      <x:c r="O41" s="1"/>
      <x:c r="P41" s="1"/>
    </x:row>
    <x:row r="42">
      <x:c r="A42" s="1"/>
      <x:c r="B42" s="1"/>
      <x:c r="C42" s="1"/>
      <x:c r="D42" s="1"/>
      <x:c r="E42" s="1"/>
      <x:c r="F42" s="1"/>
      <x:c r="G42" s="1"/>
      <x:c r="H42" s="1"/>
      <x:c r="I42" s="1"/>
      <x:c r="J42" s="1"/>
      <x:c r="K42" s="1"/>
      <x:c r="L42" s="1"/>
      <x:c r="M42" s="1"/>
      <x:c r="N42" s="1"/>
      <x:c r="O42" s="1"/>
      <x:c r="P42" s="1"/>
    </x:row>
    <x:row r="43">
      <x:c r="A43" s="1"/>
      <x:c r="B43" s="1"/>
      <x:c r="C43" s="1"/>
      <x:c r="D43" s="1"/>
      <x:c r="E43" s="1"/>
      <x:c r="F43" s="1"/>
      <x:c r="G43" s="1"/>
      <x:c r="H43" s="1"/>
      <x:c r="I43" s="1"/>
      <x:c r="J43" s="1"/>
      <x:c r="K43" s="1"/>
      <x:c r="L43" s="1"/>
      <x:c r="M43" s="1"/>
      <x:c r="N43" s="1"/>
      <x:c r="O43" s="1"/>
      <x:c r="P43" s="1"/>
    </x:row>
    <x:row r="44">
      <x:c r="A44" s="1"/>
      <x:c r="B44" s="1"/>
      <x:c r="C44" s="1"/>
      <x:c r="D44" s="1"/>
      <x:c r="E44" s="1"/>
      <x:c r="F44" s="1"/>
      <x:c r="G44" s="1"/>
      <x:c r="H44" s="1"/>
      <x:c r="I44" s="1"/>
      <x:c r="J44" s="1"/>
      <x:c r="K44" s="1"/>
      <x:c r="L44" s="1"/>
      <x:c r="M44" s="1"/>
      <x:c r="N44" s="1"/>
      <x:c r="O44" s="1"/>
      <x:c r="P44" s="1"/>
    </x:row>
    <x:row r="45">
      <x:c r="A45" s="1"/>
      <x:c r="B45" s="1"/>
      <x:c r="C45" s="1"/>
      <x:c r="D45" s="1"/>
      <x:c r="E45" s="1"/>
      <x:c r="F45" s="1"/>
      <x:c r="G45" s="1"/>
      <x:c r="H45" s="1"/>
      <x:c r="I45" s="1"/>
      <x:c r="J45" s="1"/>
      <x:c r="K45" s="1"/>
      <x:c r="L45" s="1"/>
      <x:c r="M45" s="1"/>
      <x:c r="N45" s="1"/>
      <x:c r="O45" s="1"/>
      <x:c r="P45" s="1"/>
    </x:row>
    <x:row r="46">
      <x:c r="A46" s="1"/>
      <x:c r="B46" s="1"/>
      <x:c r="C46" s="1"/>
      <x:c r="D46" s="1"/>
      <x:c r="E46" s="1"/>
      <x:c r="F46" s="1"/>
      <x:c r="G46" s="1"/>
      <x:c r="H46" s="1"/>
      <x:c r="I46" s="1"/>
      <x:c r="J46" s="1"/>
      <x:c r="K46" s="1"/>
      <x:c r="L46" s="1"/>
      <x:c r="M46" s="1"/>
      <x:c r="N46" s="1"/>
      <x:c r="O46" s="1"/>
      <x:c r="P46" s="1"/>
    </x:row>
    <x:row r="47">
      <x:c r="A47" s="1"/>
      <x:c r="B47" s="1"/>
      <x:c r="C47" s="1"/>
      <x:c r="D47" s="1"/>
      <x:c r="E47" s="1"/>
      <x:c r="F47" s="1"/>
      <x:c r="G47" s="1"/>
      <x:c r="H47" s="1"/>
      <x:c r="I47" s="1"/>
      <x:c r="J47" s="1"/>
      <x:c r="K47" s="1"/>
      <x:c r="L47" s="1"/>
      <x:c r="M47" s="1"/>
      <x:c r="N47" s="1"/>
      <x:c r="O47" s="1"/>
      <x:c r="P47" s="1"/>
    </x:row>
    <x:row r="48">
      <x:c r="A48" s="1"/>
      <x:c r="B48" s="1"/>
      <x:c r="C48" s="1"/>
      <x:c r="D48" s="1"/>
      <x:c r="E48" s="1"/>
      <x:c r="F48" s="1"/>
      <x:c r="G48" s="1"/>
      <x:c r="H48" s="1"/>
      <x:c r="I48" s="1"/>
      <x:c r="J48" s="1"/>
      <x:c r="K48" s="1"/>
      <x:c r="L48" s="1"/>
      <x:c r="M48" s="1"/>
      <x:c r="N48" s="1"/>
      <x:c r="O48" s="1"/>
      <x:c r="P48" s="1"/>
    </x:row>
    <x:row r="49">
      <x:c r="A49" s="1"/>
      <x:c r="B49" s="1"/>
      <x:c r="C49" s="1"/>
      <x:c r="D49" s="1"/>
      <x:c r="E49" s="1"/>
      <x:c r="F49" s="1"/>
      <x:c r="G49" s="1"/>
      <x:c r="H49" s="1"/>
      <x:c r="I49" s="1"/>
      <x:c r="J49" s="1"/>
      <x:c r="K49" s="1"/>
      <x:c r="L49" s="1"/>
      <x:c r="M49" s="1"/>
      <x:c r="N49" s="1"/>
      <x:c r="O49" s="1"/>
      <x:c r="P49" s="1"/>
    </x:row>
    <x:row r="50">
      <x:c r="A50" s="1"/>
      <x:c r="B50" s="1"/>
      <x:c r="C50" s="1"/>
      <x:c r="D50" s="1"/>
      <x:c r="E50" s="1"/>
      <x:c r="F50" s="1"/>
      <x:c r="G50" s="1"/>
      <x:c r="H50" s="1"/>
      <x:c r="I50" s="1"/>
      <x:c r="J50" s="1"/>
      <x:c r="K50" s="1"/>
      <x:c r="L50" s="1"/>
      <x:c r="M50" s="1"/>
      <x:c r="N50" s="1"/>
      <x:c r="O50" s="1"/>
      <x:c r="P50" s="1"/>
    </x:row>
    <x:row r="51">
      <x:c r="A51" s="1"/>
      <x:c r="B51" s="1"/>
      <x:c r="C51" s="1"/>
      <x:c r="D51" s="1"/>
      <x:c r="E51" s="1"/>
      <x:c r="F51" s="1"/>
      <x:c r="G51" s="1"/>
      <x:c r="H51" s="1"/>
      <x:c r="I51" s="1"/>
      <x:c r="J51" s="1"/>
      <x:c r="K51" s="1"/>
      <x:c r="L51" s="1"/>
      <x:c r="M51" s="1"/>
      <x:c r="N51" s="1"/>
      <x:c r="O51" s="1"/>
      <x:c r="P51" s="1"/>
    </x:row>
    <x:row r="52">
      <x:c r="A52" s="1"/>
      <x:c r="B52" s="1"/>
      <x:c r="C52" s="1"/>
      <x:c r="D52" s="1"/>
      <x:c r="E52" s="1"/>
      <x:c r="F52" s="1"/>
      <x:c r="G52" s="1"/>
      <x:c r="H52" s="1"/>
      <x:c r="I52" s="1"/>
      <x:c r="J52" s="1"/>
      <x:c r="K52" s="1"/>
      <x:c r="L52" s="1"/>
      <x:c r="M52" s="1"/>
      <x:c r="N52" s="1"/>
      <x:c r="O52" s="1"/>
      <x:c r="P52" s="1"/>
    </x:row>
    <x:row r="53">
      <x:c r="A53" s="1"/>
      <x:c r="B53" s="1"/>
      <x:c r="C53" s="1"/>
      <x:c r="D53" s="1"/>
      <x:c r="E53" s="1"/>
      <x:c r="F53" s="1"/>
      <x:c r="G53" s="1"/>
      <x:c r="H53" s="1"/>
      <x:c r="I53" s="1"/>
      <x:c r="J53" s="1"/>
      <x:c r="K53" s="1"/>
      <x:c r="L53" s="1"/>
      <x:c r="M53" s="1"/>
      <x:c r="N53" s="1"/>
      <x:c r="O53" s="1"/>
      <x:c r="P53" s="1"/>
    </x:row>
    <x:row r="54">
      <x:c r="A54" s="1"/>
      <x:c r="B54" s="1"/>
      <x:c r="C54" s="1"/>
      <x:c r="D54" s="1"/>
      <x:c r="E54" s="1"/>
      <x:c r="F54" s="1"/>
      <x:c r="G54" s="1"/>
      <x:c r="H54" s="1"/>
      <x:c r="I54" s="1"/>
      <x:c r="J54" s="1"/>
      <x:c r="K54" s="1"/>
      <x:c r="L54" s="1"/>
      <x:c r="M54" s="1"/>
      <x:c r="N54" s="1"/>
      <x:c r="O54" s="1"/>
      <x:c r="P54" s="1"/>
    </x:row>
    <x:row r="55">
      <x:c r="A55" s="1"/>
      <x:c r="B55" s="1"/>
      <x:c r="C55" s="1"/>
      <x:c r="D55" s="1"/>
      <x:c r="E55" s="1"/>
      <x:c r="F55" s="1"/>
      <x:c r="G55" s="1"/>
      <x:c r="H55" s="1"/>
      <x:c r="I55" s="1"/>
      <x:c r="J55" s="1"/>
      <x:c r="K55" s="1"/>
      <x:c r="L55" s="1"/>
      <x:c r="M55" s="1"/>
      <x:c r="N55" s="1"/>
      <x:c r="O55" s="1"/>
      <x:c r="P55" s="1"/>
    </x:row>
    <x:row r="56">
      <x:c r="A56" s="1"/>
      <x:c r="B56" s="1"/>
      <x:c r="C56" s="1"/>
      <x:c r="D56" s="1"/>
      <x:c r="E56" s="1"/>
      <x:c r="F56" s="1"/>
      <x:c r="G56" s="1"/>
      <x:c r="H56" s="1"/>
      <x:c r="I56" s="1"/>
      <x:c r="J56" s="1"/>
      <x:c r="K56" s="1"/>
      <x:c r="L56" s="1"/>
      <x:c r="M56" s="1"/>
      <x:c r="N56" s="1"/>
      <x:c r="O56" s="1"/>
      <x:c r="P56" s="1"/>
    </x:row>
    <x:row r="57">
      <x:c r="A57" s="1"/>
      <x:c r="B57" s="1"/>
      <x:c r="C57" s="1"/>
      <x:c r="D57" s="1"/>
      <x:c r="E57" s="1"/>
      <x:c r="F57" s="1"/>
      <x:c r="G57" s="1"/>
      <x:c r="H57" s="1"/>
      <x:c r="I57" s="1"/>
      <x:c r="J57" s="1"/>
      <x:c r="K57" s="1"/>
      <x:c r="L57" s="1"/>
      <x:c r="M57" s="1"/>
      <x:c r="N57" s="1"/>
      <x:c r="O57" s="1"/>
      <x:c r="P57" s="1"/>
    </x:row>
    <x:row r="58">
      <x:c r="A58" s="1"/>
      <x:c r="B58" s="1"/>
      <x:c r="C58" s="1"/>
      <x:c r="D58" s="1"/>
      <x:c r="E58" s="1"/>
      <x:c r="F58" s="1"/>
      <x:c r="G58" s="1"/>
      <x:c r="H58" s="1"/>
      <x:c r="I58" s="1"/>
      <x:c r="J58" s="1"/>
      <x:c r="K58" s="1"/>
      <x:c r="L58" s="1"/>
      <x:c r="M58" s="1"/>
      <x:c r="N58" s="1"/>
      <x:c r="O58" s="1"/>
      <x:c r="P58" s="1"/>
    </x:row>
    <x:row r="59">
      <x:c r="A59" s="1"/>
      <x:c r="B59" s="1"/>
      <x:c r="C59" s="1"/>
      <x:c r="D59" s="1"/>
      <x:c r="E59" s="1"/>
      <x:c r="F59" s="1"/>
      <x:c r="G59" s="1"/>
      <x:c r="H59" s="1"/>
      <x:c r="I59" s="1"/>
      <x:c r="J59" s="1"/>
      <x:c r="K59" s="1"/>
      <x:c r="L59" s="1"/>
      <x:c r="M59" s="1"/>
      <x:c r="N59" s="1"/>
      <x:c r="O59" s="1"/>
      <x:c r="P59" s="1"/>
    </x:row>
    <x:row r="60">
      <x:c r="A60" s="1"/>
      <x:c r="B60" s="1"/>
      <x:c r="C60" s="1"/>
      <x:c r="D60" s="1"/>
      <x:c r="E60" s="1"/>
      <x:c r="F60" s="1"/>
      <x:c r="G60" s="1"/>
      <x:c r="H60" s="1"/>
      <x:c r="I60" s="1"/>
      <x:c r="J60" s="1"/>
      <x:c r="K60" s="1"/>
      <x:c r="L60" s="1"/>
      <x:c r="M60" s="1"/>
      <x:c r="N60" s="1"/>
      <x:c r="O60" s="1"/>
      <x:c r="P60" s="1"/>
    </x:row>
    <x:row r="61">
      <x:c r="A61" s="1"/>
      <x:c r="B61" s="1"/>
      <x:c r="C61" s="1"/>
      <x:c r="D61" s="1"/>
      <x:c r="E61" s="1"/>
      <x:c r="F61" s="1"/>
      <x:c r="G61" s="1"/>
      <x:c r="H61" s="1"/>
      <x:c r="I61" s="1"/>
      <x:c r="J61" s="1"/>
      <x:c r="K61" s="1"/>
      <x:c r="L61" s="1"/>
      <x:c r="M61" s="1"/>
      <x:c r="N61" s="1"/>
      <x:c r="O61" s="1"/>
      <x:c r="P61" s="1"/>
    </x:row>
    <x:row r="62">
      <x:c r="A62" s="1"/>
      <x:c r="B62" s="1"/>
      <x:c r="C62" s="1"/>
      <x:c r="D62" s="1"/>
      <x:c r="E62" s="1"/>
      <x:c r="F62" s="1"/>
      <x:c r="G62" s="1"/>
      <x:c r="H62" s="1"/>
      <x:c r="I62" s="1"/>
      <x:c r="J62" s="1"/>
      <x:c r="K62" s="1"/>
      <x:c r="L62" s="1"/>
      <x:c r="M62" s="1"/>
      <x:c r="N62" s="1"/>
      <x:c r="O62" s="1"/>
      <x:c r="P62" s="1"/>
    </x:row>
    <x:row r="63">
      <x:c r="A63" s="1"/>
      <x:c r="B63" s="1"/>
      <x:c r="C63" s="1"/>
      <x:c r="D63" s="1"/>
      <x:c r="E63" s="1"/>
      <x:c r="F63" s="1"/>
      <x:c r="G63" s="1"/>
      <x:c r="H63" s="1"/>
      <x:c r="I63" s="1"/>
      <x:c r="J63" s="1"/>
      <x:c r="K63" s="1"/>
      <x:c r="L63" s="1"/>
      <x:c r="M63" s="1"/>
      <x:c r="N63" s="1"/>
      <x:c r="O63" s="1"/>
      <x:c r="P63" s="1"/>
    </x:row>
    <x:row r="64">
      <x:c r="A64" s="1"/>
      <x:c r="B64" s="1"/>
      <x:c r="C64" s="1"/>
      <x:c r="D64" s="1"/>
      <x:c r="E64" s="1"/>
      <x:c r="F64" s="1"/>
      <x:c r="G64" s="1"/>
      <x:c r="H64" s="1"/>
      <x:c r="I64" s="1"/>
      <x:c r="J64" s="1"/>
      <x:c r="K64" s="1"/>
      <x:c r="L64" s="1"/>
      <x:c r="M64" s="1"/>
      <x:c r="N64" s="1"/>
      <x:c r="O64" s="1"/>
      <x:c r="P64" s="1"/>
    </x:row>
    <x:row r="65">
      <x:c r="A65" s="1"/>
      <x:c r="B65" s="1"/>
      <x:c r="C65" s="1"/>
      <x:c r="D65" s="1"/>
      <x:c r="E65" s="1"/>
      <x:c r="F65" s="1"/>
      <x:c r="G65" s="1"/>
      <x:c r="H65" s="1"/>
      <x:c r="I65" s="1"/>
      <x:c r="J65" s="1"/>
      <x:c r="K65" s="1"/>
      <x:c r="L65" s="1"/>
      <x:c r="M65" s="1"/>
      <x:c r="N65" s="1"/>
      <x:c r="O65" s="1"/>
      <x:c r="P65" s="1"/>
    </x:row>
    <x:row r="66">
      <x:c r="A66" s="1"/>
      <x:c r="B66" s="1"/>
      <x:c r="C66" s="1"/>
      <x:c r="D66" s="1"/>
      <x:c r="E66" s="1"/>
      <x:c r="F66" s="1"/>
      <x:c r="G66" s="1"/>
      <x:c r="H66" s="1"/>
      <x:c r="I66" s="1"/>
      <x:c r="J66" s="1"/>
      <x:c r="K66" s="1"/>
      <x:c r="L66" s="1"/>
      <x:c r="M66" s="1"/>
      <x:c r="N66" s="1"/>
      <x:c r="O66" s="1"/>
      <x:c r="P66" s="1"/>
    </x:row>
    <x:row r="67">
      <x:c r="A67" s="1"/>
      <x:c r="B67" s="1"/>
      <x:c r="C67" s="1"/>
      <x:c r="D67" s="1"/>
      <x:c r="E67" s="1"/>
      <x:c r="F67" s="1"/>
      <x:c r="G67" s="1"/>
      <x:c r="H67" s="1"/>
      <x:c r="I67" s="1"/>
      <x:c r="J67" s="1"/>
      <x:c r="K67" s="1"/>
      <x:c r="L67" s="1"/>
      <x:c r="M67" s="1"/>
      <x:c r="N67" s="1"/>
      <x:c r="O67" s="1"/>
      <x:c r="P67" s="1"/>
    </x:row>
    <x:row r="68">
      <x:c r="A68" s="1"/>
      <x:c r="B68" s="1"/>
      <x:c r="C68" s="1"/>
      <x:c r="D68" s="1"/>
      <x:c r="E68" s="1"/>
      <x:c r="F68" s="1"/>
      <x:c r="G68" s="1"/>
      <x:c r="H68" s="1"/>
      <x:c r="I68" s="1"/>
      <x:c r="J68" s="1"/>
      <x:c r="K68" s="1"/>
      <x:c r="L68" s="1"/>
      <x:c r="M68" s="1"/>
      <x:c r="N68" s="1"/>
      <x:c r="O68" s="1"/>
      <x:c r="P68" s="1"/>
    </x:row>
    <x:row r="69">
      <x:c r="A69" s="1"/>
      <x:c r="B69" s="1"/>
      <x:c r="C69" s="1"/>
      <x:c r="D69" s="1"/>
      <x:c r="E69" s="1"/>
      <x:c r="F69" s="1"/>
      <x:c r="G69" s="1"/>
      <x:c r="H69" s="1"/>
      <x:c r="I69" s="1"/>
      <x:c r="J69" s="1"/>
      <x:c r="K69" s="1"/>
      <x:c r="L69" s="1"/>
      <x:c r="M69" s="1"/>
      <x:c r="N69" s="1"/>
      <x:c r="O69" s="1"/>
      <x:c r="P69" s="1"/>
    </x:row>
    <x:row r="70">
      <x:c r="A70" s="1"/>
      <x:c r="B70" s="1"/>
      <x:c r="C70" s="1"/>
      <x:c r="D70" s="1"/>
      <x:c r="E70" s="1"/>
      <x:c r="F70" s="1"/>
      <x:c r="G70" s="1"/>
      <x:c r="H70" s="1"/>
      <x:c r="I70" s="1"/>
      <x:c r="J70" s="1"/>
      <x:c r="K70" s="1"/>
      <x:c r="L70" s="1"/>
      <x:c r="M70" s="1"/>
      <x:c r="N70" s="1"/>
      <x:c r="O70" s="1"/>
      <x:c r="P70" s="1"/>
    </x:row>
    <x:row r="71">
      <x:c r="A71" s="1"/>
      <x:c r="B71" s="1"/>
      <x:c r="C71" s="1"/>
      <x:c r="D71" s="1"/>
      <x:c r="E71" s="1"/>
      <x:c r="F71" s="1"/>
      <x:c r="G71" s="1"/>
      <x:c r="H71" s="1"/>
      <x:c r="I71" s="1"/>
      <x:c r="J71" s="1"/>
      <x:c r="K71" s="1"/>
      <x:c r="L71" s="1"/>
      <x:c r="M71" s="1"/>
      <x:c r="N71" s="1"/>
      <x:c r="O71" s="1"/>
      <x:c r="P71" s="1"/>
    </x:row>
    <x:row r="72">
      <x:c r="A72" s="1"/>
      <x:c r="B72" s="1"/>
      <x:c r="C72" s="1"/>
      <x:c r="D72" s="1"/>
      <x:c r="E72" s="1"/>
      <x:c r="F72" s="1"/>
      <x:c r="G72" s="1"/>
      <x:c r="H72" s="1"/>
      <x:c r="I72" s="1"/>
      <x:c r="J72" s="1"/>
      <x:c r="K72" s="1"/>
      <x:c r="L72" s="1"/>
      <x:c r="M72" s="1"/>
      <x:c r="N72" s="1"/>
      <x:c r="O72" s="1"/>
      <x:c r="P72" s="1"/>
    </x:row>
    <x:row r="73">
      <x:c r="A73" s="1"/>
      <x:c r="B73" s="1"/>
      <x:c r="C73" s="1"/>
      <x:c r="D73" s="1"/>
      <x:c r="E73" s="1"/>
      <x:c r="F73" s="1"/>
      <x:c r="G73" s="1"/>
      <x:c r="H73" s="1"/>
      <x:c r="I73" s="1"/>
      <x:c r="J73" s="1"/>
      <x:c r="K73" s="1"/>
      <x:c r="L73" s="1"/>
      <x:c r="M73" s="1"/>
      <x:c r="N73" s="1"/>
      <x:c r="O73" s="1"/>
      <x:c r="P73" s="1"/>
    </x:row>
    <x:row r="74">
      <x:c r="A74" s="1"/>
      <x:c r="B74" s="1"/>
      <x:c r="C74" s="1"/>
      <x:c r="D74" s="1"/>
      <x:c r="E74" s="1"/>
      <x:c r="F74" s="1"/>
      <x:c r="G74" s="1"/>
      <x:c r="H74" s="1"/>
      <x:c r="I74" s="1"/>
      <x:c r="J74" s="1"/>
      <x:c r="K74" s="1"/>
      <x:c r="L74" s="1"/>
      <x:c r="M74" s="1"/>
      <x:c r="N74" s="1"/>
      <x:c r="O74" s="1"/>
      <x:c r="P74" s="1"/>
    </x:row>
    <x:row r="75">
      <x:c r="A75" s="1"/>
      <x:c r="B75" s="1"/>
      <x:c r="C75" s="1"/>
      <x:c r="D75" s="1"/>
      <x:c r="E75" s="1"/>
      <x:c r="F75" s="1"/>
      <x:c r="G75" s="1"/>
      <x:c r="H75" s="1"/>
      <x:c r="I75" s="1"/>
      <x:c r="J75" s="1"/>
      <x:c r="K75" s="1"/>
      <x:c r="L75" s="1"/>
      <x:c r="M75" s="1"/>
      <x:c r="N75" s="1"/>
      <x:c r="O75" s="1"/>
      <x:c r="P75" s="1"/>
    </x:row>
    <x:row r="76">
      <x:c r="A76" s="1"/>
      <x:c r="B76" s="1"/>
      <x:c r="C76" s="1"/>
      <x:c r="D76" s="1"/>
      <x:c r="E76" s="1"/>
      <x:c r="F76" s="1"/>
      <x:c r="G76" s="1"/>
      <x:c r="H76" s="1"/>
      <x:c r="I76" s="1"/>
      <x:c r="J76" s="1"/>
      <x:c r="K76" s="1"/>
      <x:c r="L76" s="1"/>
      <x:c r="M76" s="1"/>
      <x:c r="N76" s="1"/>
      <x:c r="O76" s="1"/>
      <x:c r="P76" s="1"/>
    </x:row>
    <x:row r="77">
      <x:c r="A77" s="1"/>
      <x:c r="B77" s="1"/>
      <x:c r="C77" s="1"/>
      <x:c r="D77" s="1"/>
      <x:c r="E77" s="1"/>
      <x:c r="F77" s="1"/>
      <x:c r="G77" s="1"/>
      <x:c r="H77" s="1"/>
      <x:c r="I77" s="1"/>
      <x:c r="J77" s="1"/>
      <x:c r="K77" s="1"/>
      <x:c r="L77" s="1"/>
      <x:c r="M77" s="1"/>
      <x:c r="N77" s="1"/>
      <x:c r="O77" s="1"/>
      <x:c r="P77" s="1"/>
    </x:row>
    <x:row r="78">
      <x:c r="A78" s="1"/>
      <x:c r="B78" s="1"/>
      <x:c r="C78" s="1"/>
      <x:c r="D78" s="1"/>
      <x:c r="E78" s="1"/>
      <x:c r="F78" s="1"/>
      <x:c r="G78" s="1"/>
      <x:c r="H78" s="1"/>
      <x:c r="I78" s="1"/>
      <x:c r="J78" s="1"/>
      <x:c r="K78" s="1"/>
      <x:c r="L78" s="1"/>
      <x:c r="M78" s="1"/>
      <x:c r="N78" s="1"/>
      <x:c r="O78" s="1"/>
      <x:c r="P78" s="1"/>
    </x:row>
    <x:row r="79">
      <x:c r="A79" s="1"/>
      <x:c r="B79" s="1"/>
      <x:c r="C79" s="1"/>
      <x:c r="D79" s="1"/>
      <x:c r="E79" s="1"/>
      <x:c r="F79" s="1"/>
      <x:c r="G79" s="1"/>
      <x:c r="H79" s="1"/>
      <x:c r="I79" s="1"/>
      <x:c r="J79" s="1"/>
      <x:c r="K79" s="1"/>
      <x:c r="L79" s="1"/>
      <x:c r="M79" s="1"/>
      <x:c r="N79" s="1"/>
      <x:c r="O79" s="1"/>
      <x:c r="P79" s="1"/>
    </x:row>
    <x:row r="80">
      <x:c r="A80" s="1"/>
      <x:c r="B80" s="1"/>
      <x:c r="C80" s="1"/>
      <x:c r="D80" s="1"/>
      <x:c r="E80" s="1"/>
      <x:c r="F80" s="1"/>
      <x:c r="G80" s="1"/>
      <x:c r="H80" s="1"/>
      <x:c r="I80" s="1"/>
      <x:c r="J80" s="1"/>
      <x:c r="K80" s="1"/>
      <x:c r="L80" s="1"/>
      <x:c r="M80" s="1"/>
      <x:c r="N80" s="1"/>
      <x:c r="O80" s="1"/>
      <x:c r="P80" s="1"/>
    </x:row>
    <x:row r="81">
      <x:c r="A81" s="1"/>
      <x:c r="B81" s="1"/>
      <x:c r="C81" s="1"/>
      <x:c r="D81" s="1"/>
      <x:c r="E81" s="1"/>
      <x:c r="F81" s="1"/>
      <x:c r="G81" s="1"/>
      <x:c r="H81" s="1"/>
      <x:c r="I81" s="1"/>
      <x:c r="J81" s="1"/>
      <x:c r="K81" s="1"/>
      <x:c r="L81" s="1"/>
      <x:c r="M81" s="1"/>
      <x:c r="N81" s="1"/>
      <x:c r="O81" s="1"/>
      <x:c r="P81" s="1"/>
    </x:row>
    <x:row r="82">
      <x:c r="A82" s="1"/>
      <x:c r="B82" s="1"/>
      <x:c r="C82" s="1"/>
      <x:c r="D82" s="1"/>
      <x:c r="E82" s="1"/>
      <x:c r="F82" s="1"/>
      <x:c r="G82" s="1"/>
      <x:c r="H82" s="1"/>
      <x:c r="I82" s="1"/>
      <x:c r="J82" s="1"/>
      <x:c r="K82" s="1"/>
      <x:c r="L82" s="1"/>
      <x:c r="M82" s="1"/>
      <x:c r="N82" s="1"/>
      <x:c r="O82" s="1"/>
      <x:c r="P82" s="1"/>
    </x:row>
    <x:row r="83">
      <x:c r="A83" s="1"/>
      <x:c r="B83" s="1"/>
      <x:c r="C83" s="1"/>
      <x:c r="D83" s="1"/>
      <x:c r="E83" s="1"/>
      <x:c r="F83" s="1"/>
      <x:c r="G83" s="1"/>
      <x:c r="H83" s="1"/>
      <x:c r="I83" s="1"/>
      <x:c r="J83" s="1"/>
      <x:c r="K83" s="1"/>
      <x:c r="L83" s="1"/>
      <x:c r="M83" s="1"/>
      <x:c r="N83" s="1"/>
      <x:c r="O83" s="1"/>
      <x:c r="P83" s="1"/>
    </x:row>
    <x:row r="84">
      <x:c r="A84" s="1"/>
      <x:c r="B84" s="1"/>
      <x:c r="C84" s="1"/>
      <x:c r="D84" s="1"/>
      <x:c r="E84" s="1"/>
      <x:c r="F84" s="1"/>
      <x:c r="G84" s="1"/>
      <x:c r="H84" s="1"/>
      <x:c r="I84" s="1"/>
      <x:c r="J84" s="1"/>
      <x:c r="K84" s="1"/>
      <x:c r="L84" s="1"/>
      <x:c r="M84" s="1"/>
      <x:c r="N84" s="1"/>
      <x:c r="O84" s="1"/>
      <x:c r="P84" s="1"/>
    </x:row>
    <x:row r="85">
      <x:c r="A85" s="1"/>
      <x:c r="B85" s="1"/>
      <x:c r="C85" s="1"/>
      <x:c r="D85" s="1"/>
      <x:c r="E85" s="1"/>
      <x:c r="F85" s="1"/>
      <x:c r="G85" s="1"/>
      <x:c r="H85" s="1"/>
      <x:c r="I85" s="1"/>
      <x:c r="J85" s="1"/>
      <x:c r="K85" s="1"/>
      <x:c r="L85" s="1"/>
      <x:c r="M85" s="1"/>
      <x:c r="N85" s="1"/>
      <x:c r="O85" s="1"/>
      <x:c r="P85" s="1"/>
    </x:row>
    <x:row r="86">
      <x:c r="A86" s="1"/>
      <x:c r="B86" s="1"/>
      <x:c r="C86" s="1"/>
      <x:c r="D86" s="1"/>
      <x:c r="E86" s="1"/>
      <x:c r="F86" s="1"/>
      <x:c r="G86" s="1"/>
      <x:c r="H86" s="1"/>
      <x:c r="I86" s="1"/>
      <x:c r="J86" s="1"/>
      <x:c r="K86" s="1"/>
      <x:c r="L86" s="1"/>
      <x:c r="M86" s="1"/>
      <x:c r="N86" s="1"/>
      <x:c r="O86" s="1"/>
      <x:c r="P86" s="1"/>
    </x:row>
    <x:row r="87">
      <x:c r="A87" s="1"/>
      <x:c r="B87" s="1"/>
      <x:c r="C87" s="1"/>
      <x:c r="D87" s="1"/>
      <x:c r="E87" s="1"/>
      <x:c r="F87" s="1"/>
      <x:c r="G87" s="1"/>
      <x:c r="H87" s="1"/>
      <x:c r="I87" s="1"/>
      <x:c r="J87" s="1"/>
      <x:c r="K87" s="1"/>
      <x:c r="L87" s="1"/>
      <x:c r="M87" s="1"/>
      <x:c r="N87" s="1"/>
      <x:c r="O87" s="1"/>
      <x:c r="P87" s="1"/>
    </x:row>
    <x:row r="88">
      <x:c r="A88" s="1"/>
      <x:c r="B88" s="1"/>
      <x:c r="C88" s="1"/>
      <x:c r="D88" s="1"/>
      <x:c r="E88" s="1"/>
      <x:c r="F88" s="1"/>
      <x:c r="G88" s="1"/>
      <x:c r="H88" s="1"/>
      <x:c r="I88" s="1"/>
      <x:c r="J88" s="1"/>
      <x:c r="K88" s="1"/>
      <x:c r="L88" s="1"/>
      <x:c r="M88" s="1"/>
      <x:c r="N88" s="1"/>
      <x:c r="O88" s="1"/>
      <x:c r="P88" s="1"/>
    </x:row>
    <x:row r="89">
      <x:c r="A89" s="1"/>
      <x:c r="B89" s="1"/>
      <x:c r="C89" s="1"/>
      <x:c r="D89" s="1"/>
      <x:c r="E89" s="1"/>
      <x:c r="F89" s="1"/>
      <x:c r="G89" s="1"/>
      <x:c r="H89" s="1"/>
      <x:c r="I89" s="1"/>
      <x:c r="J89" s="1"/>
      <x:c r="K89" s="1"/>
      <x:c r="L89" s="1"/>
      <x:c r="M89" s="1"/>
      <x:c r="N89" s="1"/>
      <x:c r="O89" s="1"/>
      <x:c r="P89" s="1"/>
    </x:row>
    <x:row r="90">
      <x:c r="A90" s="1"/>
      <x:c r="B90" s="1"/>
      <x:c r="C90" s="1"/>
      <x:c r="D90" s="1"/>
      <x:c r="E90" s="1"/>
      <x:c r="F90" s="1"/>
      <x:c r="G90" s="1"/>
      <x:c r="H90" s="1"/>
      <x:c r="I90" s="1"/>
      <x:c r="J90" s="1"/>
      <x:c r="K90" s="1"/>
      <x:c r="L90" s="1"/>
      <x:c r="M90" s="1"/>
      <x:c r="N90" s="1"/>
      <x:c r="O90" s="1"/>
      <x:c r="P90" s="1"/>
    </x:row>
    <x:row r="91">
      <x:c r="A91" s="1"/>
      <x:c r="B91" s="1"/>
      <x:c r="C91" s="1"/>
      <x:c r="D91" s="1"/>
      <x:c r="E91" s="1"/>
      <x:c r="F91" s="1"/>
      <x:c r="G91" s="1"/>
      <x:c r="H91" s="1"/>
      <x:c r="I91" s="1"/>
      <x:c r="J91" s="1"/>
      <x:c r="K91" s="1"/>
      <x:c r="L91" s="1"/>
      <x:c r="M91" s="1"/>
      <x:c r="N91" s="1"/>
      <x:c r="O91" s="1"/>
      <x:c r="P91" s="1"/>
    </x:row>
    <x:row r="92">
      <x:c r="A92" s="1"/>
      <x:c r="B92" s="1"/>
      <x:c r="C92" s="1"/>
      <x:c r="D92" s="1"/>
      <x:c r="E92" s="1"/>
      <x:c r="F92" s="1"/>
      <x:c r="G92" s="1"/>
      <x:c r="H92" s="1"/>
      <x:c r="I92" s="1"/>
      <x:c r="J92" s="1"/>
      <x:c r="K92" s="1"/>
      <x:c r="L92" s="1"/>
      <x:c r="M92" s="1"/>
      <x:c r="N92" s="1"/>
      <x:c r="O92" s="1"/>
      <x:c r="P92" s="1"/>
    </x:row>
    <x:row r="93">
      <x:c r="A93" s="1"/>
      <x:c r="B93" s="1"/>
      <x:c r="C93" s="1"/>
      <x:c r="D93" s="1"/>
      <x:c r="E93" s="1"/>
      <x:c r="F93" s="1"/>
      <x:c r="G93" s="1"/>
      <x:c r="H93" s="1"/>
      <x:c r="I93" s="1"/>
      <x:c r="J93" s="1"/>
      <x:c r="K93" s="1"/>
      <x:c r="L93" s="1"/>
      <x:c r="M93" s="1"/>
      <x:c r="N93" s="1"/>
      <x:c r="O93" s="1"/>
      <x:c r="P93" s="1"/>
    </x:row>
    <x:row r="94">
      <x:c r="A94" s="1"/>
      <x:c r="B94" s="1"/>
      <x:c r="C94" s="1"/>
      <x:c r="D94" s="1"/>
      <x:c r="E94" s="1"/>
      <x:c r="F94" s="1"/>
      <x:c r="G94" s="1"/>
      <x:c r="H94" s="1"/>
      <x:c r="I94" s="1"/>
      <x:c r="J94" s="1"/>
      <x:c r="K94" s="1"/>
      <x:c r="L94" s="1"/>
      <x:c r="M94" s="1"/>
      <x:c r="N94" s="1"/>
      <x:c r="O94" s="1"/>
      <x:c r="P94" s="1"/>
    </x:row>
    <x:row r="95">
      <x:c r="A95" s="1"/>
      <x:c r="B95" s="1"/>
      <x:c r="C95" s="1"/>
      <x:c r="D95" s="1"/>
      <x:c r="E95" s="1"/>
      <x:c r="F95" s="1"/>
      <x:c r="G95" s="1"/>
      <x:c r="H95" s="1"/>
      <x:c r="I95" s="1"/>
      <x:c r="J95" s="1"/>
      <x:c r="K95" s="1"/>
      <x:c r="L95" s="1"/>
      <x:c r="M95" s="1"/>
      <x:c r="N95" s="1"/>
      <x:c r="O95" s="1"/>
      <x:c r="P95" s="1"/>
    </x:row>
    <x:row r="96">
      <x:c r="A96" s="1"/>
      <x:c r="B96" s="1"/>
      <x:c r="C96" s="1"/>
      <x:c r="D96" s="1"/>
      <x:c r="E96" s="1"/>
      <x:c r="F96" s="1"/>
      <x:c r="G96" s="1"/>
      <x:c r="H96" s="1"/>
      <x:c r="I96" s="1"/>
      <x:c r="J96" s="1"/>
      <x:c r="K96" s="1"/>
      <x:c r="L96" s="1"/>
      <x:c r="M96" s="1"/>
      <x:c r="N96" s="1"/>
      <x:c r="O96" s="1"/>
      <x:c r="P96" s="1"/>
    </x:row>
    <x:row r="97">
      <x:c r="A97" s="1"/>
      <x:c r="B97" s="1"/>
      <x:c r="C97" s="1"/>
      <x:c r="D97" s="1"/>
      <x:c r="E97" s="1"/>
      <x:c r="F97" s="1"/>
      <x:c r="G97" s="1"/>
      <x:c r="H97" s="1"/>
      <x:c r="I97" s="1"/>
      <x:c r="J97" s="1"/>
      <x:c r="K97" s="1"/>
      <x:c r="L97" s="1"/>
      <x:c r="M97" s="1"/>
      <x:c r="N97" s="1"/>
      <x:c r="O97" s="1"/>
      <x:c r="P97" s="1"/>
    </x:row>
    <x:row r="98">
      <x:c r="A98" s="1"/>
      <x:c r="B98" s="1"/>
      <x:c r="C98" s="1"/>
      <x:c r="D98" s="1"/>
      <x:c r="E98" s="1"/>
      <x:c r="F98" s="1"/>
      <x:c r="G98" s="1"/>
      <x:c r="H98" s="1"/>
      <x:c r="I98" s="1"/>
      <x:c r="J98" s="1"/>
      <x:c r="K98" s="1"/>
      <x:c r="L98" s="1"/>
      <x:c r="M98" s="1"/>
      <x:c r="N98" s="1"/>
      <x:c r="O98" s="1"/>
      <x:c r="P98" s="1"/>
    </x:row>
    <x:row r="99">
      <x:c r="A99" s="1"/>
      <x:c r="B99" s="1"/>
      <x:c r="C99" s="1"/>
      <x:c r="D99" s="1"/>
      <x:c r="E99" s="1"/>
      <x:c r="F99" s="1"/>
      <x:c r="G99" s="1"/>
      <x:c r="H99" s="1"/>
      <x:c r="I99" s="1"/>
      <x:c r="J99" s="1"/>
      <x:c r="K99" s="1"/>
      <x:c r="L99" s="1"/>
      <x:c r="M99" s="1"/>
      <x:c r="N99" s="1"/>
      <x:c r="O99" s="1"/>
      <x:c r="P99" s="1"/>
    </x:row>
    <x:row r="100">
      <x:c r="A100" s="1"/>
      <x:c r="B100" s="1"/>
      <x:c r="C100" s="1"/>
      <x:c r="D100" s="1"/>
      <x:c r="E100" s="1"/>
      <x:c r="F100" s="1"/>
      <x:c r="G100" s="1"/>
      <x:c r="H100" s="1"/>
      <x:c r="I100" s="1"/>
      <x:c r="J100" s="1"/>
      <x:c r="K100" s="1"/>
      <x:c r="L100" s="1"/>
      <x:c r="M100" s="1"/>
      <x:c r="N100" s="1"/>
      <x:c r="O100" s="1"/>
      <x:c r="P100" s="1"/>
    </x:row>
    <x:row r="101">
      <x:c r="A101" s="1"/>
      <x:c r="B101" s="1"/>
      <x:c r="C101" s="1"/>
      <x:c r="D101" s="1"/>
      <x:c r="E101" s="1"/>
      <x:c r="F101" s="1"/>
      <x:c r="G101" s="1"/>
      <x:c r="H101" s="1"/>
      <x:c r="I101" s="1"/>
      <x:c r="J101" s="1"/>
      <x:c r="K101" s="1"/>
      <x:c r="L101" s="1"/>
      <x:c r="M101" s="1"/>
      <x:c r="N101" s="1"/>
      <x:c r="O101" s="1"/>
      <x:c r="P101" s="1"/>
    </x:row>
    <x:row r="102">
      <x:c r="A102" s="1"/>
      <x:c r="B102" s="1"/>
      <x:c r="C102" s="1"/>
      <x:c r="D102" s="1"/>
      <x:c r="E102" s="1"/>
      <x:c r="F102" s="1"/>
      <x:c r="G102" s="1"/>
      <x:c r="H102" s="1"/>
      <x:c r="I102" s="1"/>
      <x:c r="J102" s="1"/>
      <x:c r="K102" s="1"/>
      <x:c r="L102" s="1"/>
      <x:c r="M102" s="1"/>
      <x:c r="N102" s="1"/>
      <x:c r="O102" s="1"/>
      <x:c r="P102" s="1"/>
    </x:row>
    <x:row r="103">
      <x:c r="A103" s="1"/>
      <x:c r="B103" s="1"/>
      <x:c r="C103" s="1"/>
      <x:c r="D103" s="1"/>
      <x:c r="E103" s="1"/>
      <x:c r="F103" s="1"/>
      <x:c r="G103" s="1"/>
      <x:c r="H103" s="1"/>
      <x:c r="I103" s="1"/>
      <x:c r="J103" s="1"/>
      <x:c r="K103" s="1"/>
      <x:c r="L103" s="1"/>
      <x:c r="M103" s="1"/>
      <x:c r="N103" s="1"/>
      <x:c r="O103" s="1"/>
      <x:c r="P103" s="1"/>
    </x:row>
    <x:row r="104">
      <x:c r="A104" s="1"/>
      <x:c r="B104" s="1"/>
      <x:c r="C104" s="1"/>
      <x:c r="D104" s="1"/>
      <x:c r="E104" s="1"/>
      <x:c r="F104" s="1"/>
      <x:c r="G104" s="1"/>
      <x:c r="H104" s="1"/>
      <x:c r="I104" s="1"/>
      <x:c r="J104" s="1"/>
      <x:c r="K104" s="1"/>
      <x:c r="L104" s="1"/>
      <x:c r="M104" s="1"/>
      <x:c r="N104" s="1"/>
      <x:c r="O104" s="1"/>
      <x:c r="P104" s="1"/>
    </x:row>
    <x:row r="105">
      <x:c r="A105" s="1"/>
      <x:c r="B105" s="1"/>
      <x:c r="C105" s="1"/>
      <x:c r="D105" s="1"/>
      <x:c r="E105" s="1"/>
      <x:c r="F105" s="1"/>
      <x:c r="G105" s="1"/>
      <x:c r="H105" s="1"/>
      <x:c r="I105" s="1"/>
      <x:c r="J105" s="1"/>
      <x:c r="K105" s="1"/>
      <x:c r="L105" s="1"/>
      <x:c r="M105" s="1"/>
      <x:c r="N105" s="1"/>
      <x:c r="O105" s="1"/>
      <x:c r="P105" s="1"/>
    </x:row>
    <x:row r="106">
      <x:c r="A106" s="1"/>
      <x:c r="B106" s="1"/>
      <x:c r="C106" s="1"/>
      <x:c r="D106" s="1"/>
      <x:c r="E106" s="1"/>
      <x:c r="F106" s="1"/>
      <x:c r="G106" s="1"/>
      <x:c r="H106" s="1"/>
      <x:c r="I106" s="1"/>
      <x:c r="J106" s="1"/>
      <x:c r="K106" s="1"/>
      <x:c r="L106" s="1"/>
      <x:c r="M106" s="1"/>
      <x:c r="N106" s="1"/>
      <x:c r="O106" s="1"/>
      <x:c r="P106" s="1"/>
    </x:row>
    <x:row r="107">
      <x:c r="A107" s="1"/>
      <x:c r="B107" s="1"/>
      <x:c r="C107" s="1"/>
      <x:c r="D107" s="1"/>
      <x:c r="E107" s="1"/>
      <x:c r="F107" s="1"/>
      <x:c r="G107" s="1"/>
      <x:c r="H107" s="1"/>
      <x:c r="I107" s="1"/>
      <x:c r="J107" s="1"/>
      <x:c r="K107" s="1"/>
      <x:c r="L107" s="1"/>
      <x:c r="M107" s="1"/>
      <x:c r="N107" s="1"/>
      <x:c r="O107" s="1"/>
      <x:c r="P107" s="1"/>
    </x:row>
    <x:row r="108">
      <x:c r="A108" s="1"/>
      <x:c r="B108" s="1"/>
      <x:c r="C108" s="1"/>
      <x:c r="D108" s="1"/>
      <x:c r="E108" s="1"/>
      <x:c r="F108" s="1"/>
      <x:c r="G108" s="1"/>
      <x:c r="H108" s="1"/>
      <x:c r="I108" s="1"/>
      <x:c r="J108" s="1"/>
      <x:c r="K108" s="1"/>
      <x:c r="L108" s="1"/>
      <x:c r="M108" s="1"/>
      <x:c r="N108" s="1"/>
      <x:c r="O108" s="1"/>
      <x:c r="P108" s="1"/>
    </x:row>
    <x:row r="109">
      <x:c r="A109" s="1"/>
      <x:c r="B109" s="1"/>
      <x:c r="C109" s="1"/>
      <x:c r="D109" s="1"/>
      <x:c r="E109" s="1"/>
      <x:c r="F109" s="1"/>
      <x:c r="G109" s="1"/>
      <x:c r="H109" s="1"/>
      <x:c r="I109" s="1"/>
      <x:c r="J109" s="1"/>
      <x:c r="K109" s="1"/>
      <x:c r="L109" s="1"/>
      <x:c r="M109" s="1"/>
      <x:c r="N109" s="1"/>
      <x:c r="O109" s="1"/>
      <x:c r="P109" s="1"/>
    </x:row>
    <x:row r="110">
      <x:c r="A110" s="1"/>
      <x:c r="B110" s="1"/>
      <x:c r="C110" s="1"/>
      <x:c r="D110" s="1"/>
      <x:c r="E110" s="1"/>
      <x:c r="F110" s="1"/>
      <x:c r="G110" s="1"/>
      <x:c r="H110" s="1"/>
      <x:c r="I110" s="1"/>
      <x:c r="J110" s="1"/>
      <x:c r="K110" s="1"/>
      <x:c r="L110" s="1"/>
      <x:c r="M110" s="1"/>
      <x:c r="N110" s="1"/>
      <x:c r="O110" s="1"/>
      <x:c r="P110" s="1"/>
    </x:row>
    <x:row r="111">
      <x:c r="A111" s="1"/>
      <x:c r="B111" s="1"/>
      <x:c r="C111" s="1"/>
      <x:c r="D111" s="1"/>
      <x:c r="E111" s="1"/>
      <x:c r="F111" s="1"/>
      <x:c r="G111" s="1"/>
      <x:c r="H111" s="1"/>
      <x:c r="I111" s="1"/>
      <x:c r="J111" s="1"/>
      <x:c r="K111" s="1"/>
      <x:c r="L111" s="1"/>
      <x:c r="M111" s="1"/>
      <x:c r="N111" s="1"/>
      <x:c r="O111" s="1"/>
      <x:c r="P111" s="1"/>
    </x:row>
    <x:row r="112">
      <x:c r="A112" s="1"/>
      <x:c r="B112" s="1"/>
      <x:c r="C112" s="1"/>
      <x:c r="D112" s="1"/>
      <x:c r="E112" s="1"/>
      <x:c r="F112" s="1"/>
      <x:c r="G112" s="1"/>
      <x:c r="H112" s="1"/>
      <x:c r="I112" s="1"/>
      <x:c r="J112" s="1"/>
      <x:c r="K112" s="1"/>
      <x:c r="L112" s="1"/>
      <x:c r="M112" s="1"/>
      <x:c r="N112" s="1"/>
      <x:c r="O112" s="1"/>
      <x:c r="P112" s="1"/>
    </x:row>
    <x:row r="113">
      <x:c r="A113" s="1"/>
      <x:c r="B113" s="1"/>
      <x:c r="C113" s="1"/>
      <x:c r="D113" s="1"/>
      <x:c r="E113" s="1"/>
      <x:c r="F113" s="1"/>
      <x:c r="G113" s="1"/>
      <x:c r="H113" s="1"/>
      <x:c r="I113" s="1"/>
      <x:c r="J113" s="1"/>
      <x:c r="K113" s="1"/>
      <x:c r="L113" s="1"/>
      <x:c r="M113" s="1"/>
      <x:c r="N113" s="1"/>
      <x:c r="O113" s="1"/>
      <x:c r="P113" s="1"/>
    </x:row>
    <x:row r="114">
      <x:c r="A114" s="1"/>
      <x:c r="B114" s="1"/>
      <x:c r="C114" s="1"/>
      <x:c r="D114" s="1"/>
      <x:c r="E114" s="1"/>
      <x:c r="F114" s="1"/>
      <x:c r="G114" s="1"/>
      <x:c r="H114" s="1"/>
      <x:c r="I114" s="1"/>
      <x:c r="J114" s="1"/>
      <x:c r="K114" s="1"/>
      <x:c r="L114" s="1"/>
      <x:c r="M114" s="1"/>
      <x:c r="N114" s="1"/>
      <x:c r="O114" s="1"/>
      <x:c r="P114" s="1"/>
    </x:row>
    <x:row r="115">
      <x:c r="A115" s="1"/>
      <x:c r="B115" s="1"/>
      <x:c r="C115" s="1"/>
      <x:c r="D115" s="1"/>
      <x:c r="E115" s="1"/>
      <x:c r="F115" s="1"/>
      <x:c r="G115" s="1"/>
      <x:c r="H115" s="1"/>
      <x:c r="I115" s="1"/>
      <x:c r="J115" s="1"/>
      <x:c r="K115" s="1"/>
      <x:c r="L115" s="1"/>
      <x:c r="M115" s="1"/>
      <x:c r="N115" s="1"/>
      <x:c r="O115" s="1"/>
      <x:c r="P115" s="1"/>
    </x:row>
    <x:row r="116">
      <x:c r="A116" s="1"/>
      <x:c r="B116" s="1"/>
      <x:c r="C116" s="1"/>
      <x:c r="D116" s="1"/>
      <x:c r="E116" s="1"/>
      <x:c r="F116" s="1"/>
      <x:c r="G116" s="1"/>
      <x:c r="H116" s="1"/>
      <x:c r="I116" s="1"/>
      <x:c r="J116" s="1"/>
      <x:c r="K116" s="1"/>
      <x:c r="L116" s="1"/>
      <x:c r="M116" s="1"/>
      <x:c r="N116" s="1"/>
      <x:c r="O116" s="1"/>
      <x:c r="P116" s="1"/>
    </x:row>
    <x:row r="117">
      <x:c r="A117" s="1"/>
      <x:c r="B117" s="1"/>
      <x:c r="C117" s="1"/>
      <x:c r="D117" s="1"/>
      <x:c r="E117" s="1"/>
      <x:c r="F117" s="1"/>
      <x:c r="G117" s="1"/>
      <x:c r="H117" s="1"/>
      <x:c r="I117" s="1"/>
      <x:c r="J117" s="1"/>
      <x:c r="K117" s="1"/>
      <x:c r="L117" s="1"/>
      <x:c r="M117" s="1"/>
      <x:c r="N117" s="1"/>
      <x:c r="O117" s="1"/>
      <x:c r="P117" s="1"/>
    </x:row>
    <x:row r="118">
      <x:c r="A118" s="1"/>
      <x:c r="B118" s="1"/>
      <x:c r="C118" s="1"/>
      <x:c r="D118" s="1"/>
      <x:c r="E118" s="1"/>
      <x:c r="F118" s="1"/>
      <x:c r="G118" s="1"/>
      <x:c r="H118" s="1"/>
      <x:c r="I118" s="1"/>
      <x:c r="J118" s="1"/>
      <x:c r="K118" s="1"/>
      <x:c r="L118" s="1"/>
      <x:c r="M118" s="1"/>
      <x:c r="N118" s="1"/>
      <x:c r="O118" s="1"/>
      <x:c r="P118" s="1"/>
    </x:row>
    <x:row r="119">
      <x:c r="A119" s="1"/>
      <x:c r="B119" s="1"/>
      <x:c r="C119" s="1"/>
      <x:c r="D119" s="1"/>
      <x:c r="E119" s="1"/>
      <x:c r="F119" s="1"/>
      <x:c r="G119" s="1"/>
      <x:c r="H119" s="1"/>
      <x:c r="I119" s="1"/>
      <x:c r="J119" s="1"/>
      <x:c r="K119" s="1"/>
      <x:c r="L119" s="1"/>
      <x:c r="M119" s="1"/>
      <x:c r="N119" s="1"/>
      <x:c r="O119" s="1"/>
      <x:c r="P119" s="1"/>
    </x:row>
    <x:row r="120">
      <x:c r="A120" s="1"/>
      <x:c r="B120" s="1"/>
      <x:c r="C120" s="1"/>
      <x:c r="D120" s="1"/>
      <x:c r="E120" s="1"/>
      <x:c r="F120" s="1"/>
      <x:c r="G120" s="1"/>
      <x:c r="H120" s="1"/>
      <x:c r="I120" s="1"/>
      <x:c r="J120" s="1"/>
      <x:c r="K120" s="1"/>
      <x:c r="L120" s="1"/>
      <x:c r="M120" s="1"/>
      <x:c r="N120" s="1"/>
      <x:c r="O120" s="1"/>
      <x:c r="P120" s="1"/>
    </x:row>
  </x:sheetData>
  <x:pageMargins left="0.7" right="0.7" top="0.75" bottom="0.75" header="0.3" footer="0.3"/>
  <x:tableParts count="1">
    <x:tablePart xmlns:r="http://schemas.openxmlformats.org/officeDocument/2006/relationships" r:id="R921beb6dbd8943db"/>
  </x:tableParts>
</x:worksheet>
</file>

<file path=xl/worksheets/sheet18.xml><?xml version="1.0" encoding="utf-8"?>
<x:worksheet xmlns:x="http://schemas.openxmlformats.org/spreadsheetml/2006/main">
  <x:sheetFormatPr defaultRowHeight="14.25"/>
  <x:cols>
    <x:col min="1" max="3" width="15" customWidth="1"/>
    <x:col min="4" max="4" width="36" customWidth="1"/>
    <x:col min="5" max="5" width="20" customWidth="1"/>
    <x:col min="6" max="7" width="24" customWidth="1"/>
    <x:col min="8" max="10" width="16" customWidth="1"/>
    <x:col min="11" max="11" width="18" customWidth="1"/>
    <x:col min="12" max="12" width="20" customWidth="1"/>
    <x:col min="13" max="13" width="26" customWidth="1"/>
    <x:col min="14" max="14" width="52" customWidth="1"/>
  </x:cols>
  <x:sheetData>
    <x:row r="1" ht="36" customHeight="1">
      <x:c r="A1" s="4" t="s">
        <x:v>329</x:v>
      </x:c>
      <x:c r="B1" s="4" t="s">
        <x:v>151</x:v>
      </x:c>
      <x:c r="C1" s="4" t="s">
        <x:v>332</x:v>
      </x:c>
      <x:c r="D1" s="4" t="s">
        <x:v>211</x:v>
      </x:c>
      <x:c r="E1" s="4" t="s">
        <x:v>735</x:v>
      </x:c>
      <x:c r="F1" s="4" t="s">
        <x:v>214</x:v>
      </x:c>
      <x:c r="G1" s="4" t="s">
        <x:v>215</x:v>
      </x:c>
      <x:c r="H1" s="4" t="s">
        <x:v>216</x:v>
      </x:c>
      <x:c r="I1" s="4" t="s">
        <x:v>217</x:v>
      </x:c>
      <x:c r="J1" s="4" t="s">
        <x:v>218</x:v>
      </x:c>
      <x:c r="K1" s="4" t="s">
        <x:v>158</x:v>
      </x:c>
      <x:c r="L1" s="4" t="s">
        <x:v>160</x:v>
      </x:c>
      <x:c r="M1" s="4" t="s">
        <x:v>161</x:v>
      </x:c>
      <x:c r="N1" s="4" t="s">
        <x:v>162</x:v>
      </x:c>
      <x:c r="O1" s="1"/>
      <x:c r="P1" s="1"/>
    </x:row>
    <x:row r="2" ht="15" customHeight="1">
      <x:c r="A2" s="16" t="s">
        <x:v>336</x:v>
      </x:c>
      <x:c r="B2" s="16" t="s">
        <x:v>164</x:v>
      </x:c>
      <x:c r="C2" s="16" t="s">
        <x:v>338</x:v>
      </x:c>
      <x:c r="D2" s="16" t="s">
        <x:v>255</x:v>
      </x:c>
      <x:c r="E2" s="20">
        <x:v>-3.2</x:v>
      </x:c>
      <x:c r="F2" s="20" t="s">
        <x:v>257</x:v>
      </x:c>
      <x:c r="G2" s="20" t="s">
        <x:v>258</x:v>
      </x:c>
      <x:c r="H2" s="20">
        <x:v>30.19</x:v>
      </x:c>
      <x:c r="I2" s="20">
        <x:v>0.17100000000000001</x:v>
      </x:c>
      <x:c r="J2" s="17">
        <x:v>6.5000000000000002E-2</x:v>
      </x:c>
      <x:c r="K2" s="17" t="s">
        <x:v>246</x:v>
      </x:c>
      <x:c r="L2" s="16" t="s">
        <x:v>259</x:v>
      </x:c>
      <x:c r="M2" s="16" t="s">
        <x:v>248</x:v>
      </x:c>
      <x:c r="N2" s="16" t="s">
        <x:v>341</x:v>
      </x:c>
      <x:c r="O2" s="1"/>
      <x:c r="P2" s="1"/>
    </x:row>
    <x:row r="3" ht="15" customHeight="1">
      <x:c r="A3" s="18" t="s">
        <x:v>342</x:v>
      </x:c>
      <x:c r="B3" s="18" t="s">
        <x:v>164</x:v>
      </x:c>
      <x:c r="C3" s="18" t="s">
        <x:v>344</x:v>
      </x:c>
      <x:c r="D3" s="18" t="s">
        <x:v>221</x:v>
      </x:c>
      <x:c r="E3" s="21">
        <x:v>-1.2</x:v>
      </x:c>
      <x:c r="F3" s="21" t="s">
        <x:v>223</x:v>
      </x:c>
      <x:c r="G3" s="21" t="s">
        <x:v>347</x:v>
      </x:c>
      <x:c r="H3" s="21">
        <x:v>3.43</x:v>
      </x:c>
      <x:c r="I3" s="21">
        <x:v>0.6</x:v>
      </x:c>
      <x:c r="J3" s="19">
        <x:v>0.25</x:v>
      </x:c>
      <x:c r="K3" s="19" t="s">
        <x:v>225</x:v>
      </x:c>
      <x:c r="L3" s="18" t="s">
        <x:v>226</x:v>
      </x:c>
      <x:c r="M3" s="18" t="s">
        <x:v>227</x:v>
      </x:c>
      <x:c r="N3" s="18" t="s">
        <x:v>348</x:v>
      </x:c>
      <x:c r="O3" s="1"/>
      <x:c r="P3" s="1"/>
    </x:row>
    <x:row r="4" ht="15" customHeight="1">
      <x:c r="A4" s="16" t="s">
        <x:v>349</x:v>
      </x:c>
      <x:c r="B4" s="16" t="s">
        <x:v>164</x:v>
      </x:c>
      <x:c r="C4" s="16" t="s">
        <x:v>351</x:v>
      </x:c>
      <x:c r="D4" s="16" t="s">
        <x:v>231</x:v>
      </x:c>
      <x:c r="E4" s="20">
        <x:v>-0.8</x:v>
      </x:c>
      <x:c r="F4" s="20" t="s">
        <x:v>354</x:v>
      </x:c>
      <x:c r="G4" s="20" t="s">
        <x:v>355</x:v>
      </x:c>
      <x:c r="H4" s="20">
        <x:v>1.6</x:v>
      </x:c>
      <x:c r="I4" s="20">
        <x:v>1.5</x:v>
      </x:c>
      <x:c r="J4" s="17">
        <x:v>1</x:v>
      </x:c>
      <x:c r="K4" s="17" t="s">
        <x:v>235</x:v>
      </x:c>
      <x:c r="L4" s="16" t="s">
        <x:v>236</x:v>
      </x:c>
      <x:c r="M4" s="16" t="s">
        <x:v>227</x:v>
      </x:c>
      <x:c r="N4" s="16" t="s">
        <x:v>356</x:v>
      </x:c>
      <x:c r="O4" s="1"/>
      <x:c r="P4" s="1"/>
    </x:row>
    <x:row r="5" ht="15" customHeight="1">
      <x:c r="A5" s="18" t="s">
        <x:v>357</x:v>
      </x:c>
      <x:c r="B5" s="18" t="s">
        <x:v>164</x:v>
      </x:c>
      <x:c r="C5" s="18" t="s">
        <x:v>359</x:v>
      </x:c>
      <x:c r="D5" s="18" t="s">
        <x:v>221</x:v>
      </x:c>
      <x:c r="E5" s="21">
        <x:v>-0.6</x:v>
      </x:c>
      <x:c r="F5" s="21" t="s">
        <x:v>223</x:v>
      </x:c>
      <x:c r="G5" s="21" t="s">
        <x:v>347</x:v>
      </x:c>
      <x:c r="H5" s="21">
        <x:v>1.71</x:v>
      </x:c>
      <x:c r="I5" s="21">
        <x:v>0.6</x:v>
      </x:c>
      <x:c r="J5" s="19">
        <x:v>0.25</x:v>
      </x:c>
      <x:c r="K5" s="19" t="s">
        <x:v>225</x:v>
      </x:c>
      <x:c r="L5" s="18" t="s">
        <x:v>226</x:v>
      </x:c>
      <x:c r="M5" s="18" t="s">
        <x:v>227</x:v>
      </x:c>
      <x:c r="N5" s="18" t="s">
        <x:v>348</x:v>
      </x:c>
      <x:c r="O5" s="1"/>
      <x:c r="P5" s="1"/>
    </x:row>
    <x:row r="6" ht="15" customHeight="1">
      <x:c r="A6" s="16" t="s">
        <x:v>362</x:v>
      </x:c>
      <x:c r="B6" s="16" t="s">
        <x:v>164</x:v>
      </x:c>
      <x:c r="C6" s="16" t="s">
        <x:v>363</x:v>
      </x:c>
      <x:c r="D6" s="16" t="s">
        <x:v>365</x:v>
      </x:c>
      <x:c r="E6" s="20">
        <x:v>-1.1000000000000001</x:v>
      </x:c>
      <x:c r="F6" s="20" t="s">
        <x:v>367</x:v>
      </x:c>
      <x:c r="G6" s="20" t="s">
        <x:v>368</x:v>
      </x:c>
      <x:c r="H6" s="20">
        <x:v>6.43</x:v>
      </x:c>
      <x:c r="I6" s="20">
        <x:v>0.17100000000000001</x:v>
      </x:c>
      <x:c r="J6" s="17">
        <x:v>0</x:v>
      </x:c>
      <x:c r="K6" s="17" t="s">
        <x:v>246</x:v>
      </x:c>
      <x:c r="L6" s="16" t="s">
        <x:v>247</x:v>
      </x:c>
      <x:c r="M6" s="16" t="s">
        <x:v>248</x:v>
      </x:c>
      <x:c r="N6" s="16" t="s">
        <x:v>369</x:v>
      </x:c>
      <x:c r="O6" s="1"/>
      <x:c r="P6" s="1"/>
    </x:row>
    <x:row r="7" ht="15" customHeight="1">
      <x:c r="A7" s="18" t="s">
        <x:v>370</x:v>
      </x:c>
      <x:c r="B7" s="18" t="s">
        <x:v>164</x:v>
      </x:c>
      <x:c r="C7" s="18" t="s">
        <x:v>372</x:v>
      </x:c>
      <x:c r="D7" s="18" t="s">
        <x:v>365</x:v>
      </x:c>
      <x:c r="E7" s="21">
        <x:v>-0.2</x:v>
      </x:c>
      <x:c r="F7" s="21" t="s">
        <x:v>223</x:v>
      </x:c>
      <x:c r="G7" s="21" t="s">
        <x:v>347</x:v>
      </x:c>
      <x:c r="H7" s="21">
        <x:v>0.56999999999999995</x:v>
      </x:c>
      <x:c r="I7" s="21">
        <x:v>0.6</x:v>
      </x:c>
      <x:c r="J7" s="19">
        <x:v>0.25</x:v>
      </x:c>
      <x:c r="K7" s="19" t="s">
        <x:v>225</x:v>
      </x:c>
      <x:c r="L7" s="18" t="s">
        <x:v>226</x:v>
      </x:c>
      <x:c r="M7" s="18" t="s">
        <x:v>227</x:v>
      </x:c>
      <x:c r="N7" s="18" t="s">
        <x:v>348</x:v>
      </x:c>
      <x:c r="O7" s="1"/>
      <x:c r="P7" s="1"/>
    </x:row>
    <x:row r="8" ht="15" customHeight="1">
      <x:c r="A8" s="16" t="s">
        <x:v>374</x:v>
      </x:c>
      <x:c r="B8" s="16" t="s">
        <x:v>173</x:v>
      </x:c>
      <x:c r="C8" s="16" t="s">
        <x:v>376</x:v>
      </x:c>
      <x:c r="D8" s="16" t="s">
        <x:v>221</x:v>
      </x:c>
      <x:c r="E8" s="20">
        <x:v>-1</x:v>
      </x:c>
      <x:c r="F8" s="20" t="s">
        <x:v>223</x:v>
      </x:c>
      <x:c r="G8" s="20" t="s">
        <x:v>347</x:v>
      </x:c>
      <x:c r="H8" s="20">
        <x:v>2.86</x:v>
      </x:c>
      <x:c r="I8" s="20">
        <x:v>0.6</x:v>
      </x:c>
      <x:c r="J8" s="17">
        <x:v>0.25</x:v>
      </x:c>
      <x:c r="K8" s="17" t="s">
        <x:v>225</x:v>
      </x:c>
      <x:c r="L8" s="16" t="s">
        <x:v>226</x:v>
      </x:c>
      <x:c r="M8" s="16" t="s">
        <x:v>227</x:v>
      </x:c>
      <x:c r="N8" s="16" t="s">
        <x:v>348</x:v>
      </x:c>
      <x:c r="O8" s="1"/>
      <x:c r="P8" s="1"/>
    </x:row>
    <x:row r="9" ht="15" customHeight="1">
      <x:c r="A9" s="18" t="s">
        <x:v>379</x:v>
      </x:c>
      <x:c r="B9" s="18" t="s">
        <x:v>173</x:v>
      </x:c>
      <x:c r="C9" s="18" t="s">
        <x:v>381</x:v>
      </x:c>
      <x:c r="D9" s="18" t="s">
        <x:v>365</x:v>
      </x:c>
      <x:c r="E9" s="21">
        <x:v>-1.4</x:v>
      </x:c>
      <x:c r="F9" s="21" t="s">
        <x:v>223</x:v>
      </x:c>
      <x:c r="G9" s="21" t="s">
        <x:v>347</x:v>
      </x:c>
      <x:c r="H9" s="21">
        <x:v>4</x:v>
      </x:c>
      <x:c r="I9" s="21">
        <x:v>0.6</x:v>
      </x:c>
      <x:c r="J9" s="19">
        <x:v>0.25</x:v>
      </x:c>
      <x:c r="K9" s="19" t="s">
        <x:v>225</x:v>
      </x:c>
      <x:c r="L9" s="18" t="s">
        <x:v>226</x:v>
      </x:c>
      <x:c r="M9" s="18" t="s">
        <x:v>227</x:v>
      </x:c>
      <x:c r="N9" s="18" t="s">
        <x:v>348</x:v>
      </x:c>
      <x:c r="O9" s="1"/>
      <x:c r="P9" s="1"/>
    </x:row>
    <x:row r="10" ht="15" customHeight="1">
      <x:c r="A10" s="16" t="s">
        <x:v>384</x:v>
      </x:c>
      <x:c r="B10" s="16" t="s">
        <x:v>173</x:v>
      </x:c>
      <x:c r="C10" s="16" t="s">
        <x:v>386</x:v>
      </x:c>
      <x:c r="D10" s="16" t="s">
        <x:v>221</x:v>
      </x:c>
      <x:c r="E10" s="20">
        <x:v>-0.6</x:v>
      </x:c>
      <x:c r="F10" s="20" t="s">
        <x:v>223</x:v>
      </x:c>
      <x:c r="G10" s="20" t="s">
        <x:v>347</x:v>
      </x:c>
      <x:c r="H10" s="20">
        <x:v>1.71</x:v>
      </x:c>
      <x:c r="I10" s="20">
        <x:v>0.6</x:v>
      </x:c>
      <x:c r="J10" s="17">
        <x:v>0.25</x:v>
      </x:c>
      <x:c r="K10" s="17" t="s">
        <x:v>225</x:v>
      </x:c>
      <x:c r="L10" s="16" t="s">
        <x:v>226</x:v>
      </x:c>
      <x:c r="M10" s="16" t="s">
        <x:v>227</x:v>
      </x:c>
      <x:c r="N10" s="16" t="s">
        <x:v>348</x:v>
      </x:c>
      <x:c r="O10" s="1"/>
      <x:c r="P10" s="1"/>
    </x:row>
    <x:row r="11" ht="15" customHeight="1">
      <x:c r="A11" s="18" t="s">
        <x:v>389</x:v>
      </x:c>
      <x:c r="B11" s="18" t="s">
        <x:v>173</x:v>
      </x:c>
      <x:c r="C11" s="18" t="s">
        <x:v>391</x:v>
      </x:c>
      <x:c r="D11" s="18" t="s">
        <x:v>393</x:v>
      </x:c>
      <x:c r="E11" s="21">
        <x:v>-2.4</x:v>
      </x:c>
      <x:c r="F11" s="21" t="s">
        <x:v>265</x:v>
      </x:c>
      <x:c r="G11" s="21" t="s">
        <x:v>266</x:v>
      </x:c>
      <x:c r="H11" s="21">
        <x:v>1.6</x:v>
      </x:c>
      <x:c r="I11" s="21">
        <x:v>8</x:v>
      </x:c>
      <x:c r="J11" s="19">
        <x:v>6.5</x:v>
      </x:c>
      <x:c r="K11" s="19" t="s">
        <x:v>267</x:v>
      </x:c>
      <x:c r="L11" s="18" t="s">
        <x:v>268</x:v>
      </x:c>
      <x:c r="M11" s="18" t="s">
        <x:v>227</x:v>
      </x:c>
      <x:c r="N11" s="18" t="s">
        <x:v>395</x:v>
      </x:c>
      <x:c r="O11" s="1"/>
      <x:c r="P11" s="1"/>
    </x:row>
    <x:row r="12" ht="15" customHeight="1">
      <x:c r="A12" s="16" t="s">
        <x:v>396</x:v>
      </x:c>
      <x:c r="B12" s="16" t="s">
        <x:v>173</x:v>
      </x:c>
      <x:c r="C12" s="16" t="s">
        <x:v>398</x:v>
      </x:c>
      <x:c r="D12" s="16" t="s">
        <x:v>231</x:v>
      </x:c>
      <x:c r="E12" s="20">
        <x:v>-0.7</x:v>
      </x:c>
      <x:c r="F12" s="20" t="s">
        <x:v>354</x:v>
      </x:c>
      <x:c r="G12" s="20" t="s">
        <x:v>355</x:v>
      </x:c>
      <x:c r="H12" s="20">
        <x:v>1.4</x:v>
      </x:c>
      <x:c r="I12" s="20">
        <x:v>1.5</x:v>
      </x:c>
      <x:c r="J12" s="17">
        <x:v>1</x:v>
      </x:c>
      <x:c r="K12" s="17" t="s">
        <x:v>235</x:v>
      </x:c>
      <x:c r="L12" s="16" t="s">
        <x:v>236</x:v>
      </x:c>
      <x:c r="M12" s="16" t="s">
        <x:v>227</x:v>
      </x:c>
      <x:c r="N12" s="16" t="s">
        <x:v>356</x:v>
      </x:c>
      <x:c r="O12" s="1"/>
      <x:c r="P12" s="1"/>
    </x:row>
    <x:row r="13" ht="15" customHeight="1">
      <x:c r="A13" s="18" t="s">
        <x:v>399</x:v>
      </x:c>
      <x:c r="B13" s="18" t="s">
        <x:v>173</x:v>
      </x:c>
      <x:c r="C13" s="18" t="s">
        <x:v>401</x:v>
      </x:c>
      <x:c r="D13" s="18" t="s">
        <x:v>255</x:v>
      </x:c>
      <x:c r="E13" s="21">
        <x:v>-3.2</x:v>
      </x:c>
      <x:c r="F13" s="21" t="s">
        <x:v>257</x:v>
      </x:c>
      <x:c r="G13" s="21" t="s">
        <x:v>258</x:v>
      </x:c>
      <x:c r="H13" s="21">
        <x:v>30.19</x:v>
      </x:c>
      <x:c r="I13" s="21">
        <x:v>0.17100000000000001</x:v>
      </x:c>
      <x:c r="J13" s="19">
        <x:v>6.5000000000000002E-2</x:v>
      </x:c>
      <x:c r="K13" s="19" t="s">
        <x:v>246</x:v>
      </x:c>
      <x:c r="L13" s="18" t="s">
        <x:v>259</x:v>
      </x:c>
      <x:c r="M13" s="18" t="s">
        <x:v>248</x:v>
      </x:c>
      <x:c r="N13" s="18" t="s">
        <x:v>341</x:v>
      </x:c>
      <x:c r="O13" s="1"/>
      <x:c r="P13" s="1"/>
    </x:row>
    <x:row r="14" ht="15" customHeight="1">
      <x:c r="A14" s="16" t="s">
        <x:v>402</x:v>
      </x:c>
      <x:c r="B14" s="16" t="s">
        <x:v>176</x:v>
      </x:c>
      <x:c r="C14" s="16" t="s">
        <x:v>242</x:v>
      </x:c>
      <x:c r="D14" s="16" t="s">
        <x:v>221</x:v>
      </x:c>
      <x:c r="E14" s="20">
        <x:v>-1.1000000000000001</x:v>
      </x:c>
      <x:c r="F14" s="20" t="s">
        <x:v>367</x:v>
      </x:c>
      <x:c r="G14" s="20" t="s">
        <x:v>368</x:v>
      </x:c>
      <x:c r="H14" s="20">
        <x:v>6.43</x:v>
      </x:c>
      <x:c r="I14" s="20">
        <x:v>0.17100000000000001</x:v>
      </x:c>
      <x:c r="J14" s="17">
        <x:v>0</x:v>
      </x:c>
      <x:c r="K14" s="17" t="s">
        <x:v>246</x:v>
      </x:c>
      <x:c r="L14" s="16" t="s">
        <x:v>247</x:v>
      </x:c>
      <x:c r="M14" s="16" t="s">
        <x:v>248</x:v>
      </x:c>
      <x:c r="N14" s="16" t="s">
        <x:v>369</x:v>
      </x:c>
      <x:c r="O14" s="1"/>
      <x:c r="P14" s="1"/>
    </x:row>
    <x:row r="15" ht="15" customHeight="1">
      <x:c r="A15" s="18" t="s">
        <x:v>404</x:v>
      </x:c>
      <x:c r="B15" s="18" t="s">
        <x:v>176</x:v>
      </x:c>
      <x:c r="C15" s="18" t="s">
        <x:v>405</x:v>
      </x:c>
      <x:c r="D15" s="18" t="s">
        <x:v>221</x:v>
      </x:c>
      <x:c r="E15" s="21">
        <x:v>-0.5</x:v>
      </x:c>
      <x:c r="F15" s="21" t="s">
        <x:v>223</x:v>
      </x:c>
      <x:c r="G15" s="21" t="s">
        <x:v>347</x:v>
      </x:c>
      <x:c r="H15" s="21">
        <x:v>1.43</x:v>
      </x:c>
      <x:c r="I15" s="21">
        <x:v>0.6</x:v>
      </x:c>
      <x:c r="J15" s="19">
        <x:v>0.25</x:v>
      </x:c>
      <x:c r="K15" s="19" t="s">
        <x:v>225</x:v>
      </x:c>
      <x:c r="L15" s="18" t="s">
        <x:v>226</x:v>
      </x:c>
      <x:c r="M15" s="18" t="s">
        <x:v>227</x:v>
      </x:c>
      <x:c r="N15" s="18" t="s">
        <x:v>348</x:v>
      </x:c>
      <x:c r="O15" s="1"/>
      <x:c r="P15" s="1"/>
    </x:row>
    <x:row r="16" ht="15" customHeight="1">
      <x:c r="A16" s="16" t="s">
        <x:v>408</x:v>
      </x:c>
      <x:c r="B16" s="16" t="s">
        <x:v>176</x:v>
      </x:c>
      <x:c r="C16" s="16" t="s">
        <x:v>409</x:v>
      </x:c>
      <x:c r="D16" s="16" t="s">
        <x:v>231</x:v>
      </x:c>
      <x:c r="E16" s="20">
        <x:v>-0.4</x:v>
      </x:c>
      <x:c r="F16" s="20" t="s">
        <x:v>354</x:v>
      </x:c>
      <x:c r="G16" s="20" t="s">
        <x:v>355</x:v>
      </x:c>
      <x:c r="H16" s="20">
        <x:v>0.8</x:v>
      </x:c>
      <x:c r="I16" s="20">
        <x:v>1.5</x:v>
      </x:c>
      <x:c r="J16" s="17">
        <x:v>1</x:v>
      </x:c>
      <x:c r="K16" s="17" t="s">
        <x:v>235</x:v>
      </x:c>
      <x:c r="L16" s="16" t="s">
        <x:v>236</x:v>
      </x:c>
      <x:c r="M16" s="16" t="s">
        <x:v>227</x:v>
      </x:c>
      <x:c r="N16" s="16" t="s">
        <x:v>356</x:v>
      </x:c>
      <x:c r="O16" s="1"/>
      <x:c r="P16" s="1"/>
    </x:row>
    <x:row r="17" ht="15" customHeight="1">
      <x:c r="A17" s="18" t="s">
        <x:v>410</x:v>
      </x:c>
      <x:c r="B17" s="18" t="s">
        <x:v>176</x:v>
      </x:c>
      <x:c r="C17" s="18" t="s">
        <x:v>411</x:v>
      </x:c>
      <x:c r="D17" s="18" t="s">
        <x:v>255</x:v>
      </x:c>
      <x:c r="E17" s="21">
        <x:v>-3.2</x:v>
      </x:c>
      <x:c r="F17" s="21" t="s">
        <x:v>257</x:v>
      </x:c>
      <x:c r="G17" s="21" t="s">
        <x:v>258</x:v>
      </x:c>
      <x:c r="H17" s="21">
        <x:v>30.19</x:v>
      </x:c>
      <x:c r="I17" s="21">
        <x:v>0.17100000000000001</x:v>
      </x:c>
      <x:c r="J17" s="19">
        <x:v>6.5000000000000002E-2</x:v>
      </x:c>
      <x:c r="K17" s="19" t="s">
        <x:v>246</x:v>
      </x:c>
      <x:c r="L17" s="18" t="s">
        <x:v>259</x:v>
      </x:c>
      <x:c r="M17" s="18" t="s">
        <x:v>248</x:v>
      </x:c>
      <x:c r="N17" s="18" t="s">
        <x:v>341</x:v>
      </x:c>
      <x:c r="O17" s="1"/>
      <x:c r="P17" s="1"/>
    </x:row>
    <x:row r="18" ht="15" customHeight="1">
      <x:c r="A18" s="16" t="s">
        <x:v>412</x:v>
      </x:c>
      <x:c r="B18" s="16" t="s">
        <x:v>179</x:v>
      </x:c>
      <x:c r="C18" s="16" t="s">
        <x:v>251</x:v>
      </x:c>
      <x:c r="D18" s="16" t="s">
        <x:v>221</x:v>
      </x:c>
      <x:c r="E18" s="20">
        <x:v>-1.7</x:v>
      </x:c>
      <x:c r="F18" s="20" t="s">
        <x:v>223</x:v>
      </x:c>
      <x:c r="G18" s="20" t="s">
        <x:v>347</x:v>
      </x:c>
      <x:c r="H18" s="20">
        <x:v>4.8600000000000003</x:v>
      </x:c>
      <x:c r="I18" s="20">
        <x:v>0.6</x:v>
      </x:c>
      <x:c r="J18" s="17">
        <x:v>0.25</x:v>
      </x:c>
      <x:c r="K18" s="17" t="s">
        <x:v>225</x:v>
      </x:c>
      <x:c r="L18" s="16" t="s">
        <x:v>226</x:v>
      </x:c>
      <x:c r="M18" s="16" t="s">
        <x:v>227</x:v>
      </x:c>
      <x:c r="N18" s="16" t="s">
        <x:v>348</x:v>
      </x:c>
      <x:c r="O18" s="1"/>
      <x:c r="P18" s="1"/>
    </x:row>
    <x:row r="19" ht="15" customHeight="1">
      <x:c r="A19" s="18" t="s">
        <x:v>415</x:v>
      </x:c>
      <x:c r="B19" s="18" t="s">
        <x:v>179</x:v>
      </x:c>
      <x:c r="C19" s="18" t="s">
        <x:v>417</x:v>
      </x:c>
      <x:c r="D19" s="18" t="s">
        <x:v>231</x:v>
      </x:c>
      <x:c r="E19" s="21">
        <x:v>-0.9</x:v>
      </x:c>
      <x:c r="F19" s="21" t="s">
        <x:v>354</x:v>
      </x:c>
      <x:c r="G19" s="21" t="s">
        <x:v>355</x:v>
      </x:c>
      <x:c r="H19" s="21">
        <x:v>1.8</x:v>
      </x:c>
      <x:c r="I19" s="21">
        <x:v>1.5</x:v>
      </x:c>
      <x:c r="J19" s="19">
        <x:v>1</x:v>
      </x:c>
      <x:c r="K19" s="19" t="s">
        <x:v>235</x:v>
      </x:c>
      <x:c r="L19" s="18" t="s">
        <x:v>236</x:v>
      </x:c>
      <x:c r="M19" s="18" t="s">
        <x:v>227</x:v>
      </x:c>
      <x:c r="N19" s="18" t="s">
        <x:v>356</x:v>
      </x:c>
      <x:c r="O19" s="1"/>
      <x:c r="P19" s="1"/>
    </x:row>
    <x:row r="20" ht="15" customHeight="1">
      <x:c r="A20" s="16" t="s">
        <x:v>419</x:v>
      </x:c>
      <x:c r="B20" s="16" t="s">
        <x:v>179</x:v>
      </x:c>
      <x:c r="C20" s="16" t="s">
        <x:v>421</x:v>
      </x:c>
      <x:c r="D20" s="16" t="s">
        <x:v>393</x:v>
      </x:c>
      <x:c r="E20" s="20">
        <x:v>-2.4</x:v>
      </x:c>
      <x:c r="F20" s="20" t="s">
        <x:v>265</x:v>
      </x:c>
      <x:c r="G20" s="20" t="s">
        <x:v>266</x:v>
      </x:c>
      <x:c r="H20" s="20">
        <x:v>1.6</x:v>
      </x:c>
      <x:c r="I20" s="20">
        <x:v>8</x:v>
      </x:c>
      <x:c r="J20" s="17">
        <x:v>6.5</x:v>
      </x:c>
      <x:c r="K20" s="17" t="s">
        <x:v>267</x:v>
      </x:c>
      <x:c r="L20" s="16" t="s">
        <x:v>268</x:v>
      </x:c>
      <x:c r="M20" s="16" t="s">
        <x:v>227</x:v>
      </x:c>
      <x:c r="N20" s="16" t="s">
        <x:v>395</x:v>
      </x:c>
      <x:c r="O20" s="1"/>
      <x:c r="P20" s="1"/>
    </x:row>
    <x:row r="21" ht="15" customHeight="1">
      <x:c r="A21" s="18" t="s">
        <x:v>422</x:v>
      </x:c>
      <x:c r="B21" s="18" t="s">
        <x:v>179</x:v>
      </x:c>
      <x:c r="C21" s="18" t="s">
        <x:v>423</x:v>
      </x:c>
      <x:c r="D21" s="18" t="s">
        <x:v>365</x:v>
      </x:c>
      <x:c r="E21" s="21">
        <x:v>-1.2</x:v>
      </x:c>
      <x:c r="F21" s="21" t="s">
        <x:v>367</x:v>
      </x:c>
      <x:c r="G21" s="21" t="s">
        <x:v>368</x:v>
      </x:c>
      <x:c r="H21" s="21">
        <x:v>7.02</x:v>
      </x:c>
      <x:c r="I21" s="21">
        <x:v>0.17100000000000001</x:v>
      </x:c>
      <x:c r="J21" s="19">
        <x:v>0</x:v>
      </x:c>
      <x:c r="K21" s="19" t="s">
        <x:v>246</x:v>
      </x:c>
      <x:c r="L21" s="18" t="s">
        <x:v>247</x:v>
      </x:c>
      <x:c r="M21" s="18" t="s">
        <x:v>248</x:v>
      </x:c>
      <x:c r="N21" s="18" t="s">
        <x:v>369</x:v>
      </x:c>
      <x:c r="O21" s="1"/>
      <x:c r="P21" s="1"/>
    </x:row>
    <x:row r="22" ht="15" customHeight="1">
      <x:c r="A22" s="16" t="s">
        <x:v>425</x:v>
      </x:c>
      <x:c r="B22" s="16" t="s">
        <x:v>179</x:v>
      </x:c>
      <x:c r="C22" s="16" t="s">
        <x:v>427</x:v>
      </x:c>
      <x:c r="D22" s="16" t="s">
        <x:v>255</x:v>
      </x:c>
      <x:c r="E22" s="20">
        <x:v>-3.2</x:v>
      </x:c>
      <x:c r="F22" s="20" t="s">
        <x:v>257</x:v>
      </x:c>
      <x:c r="G22" s="20" t="s">
        <x:v>258</x:v>
      </x:c>
      <x:c r="H22" s="20">
        <x:v>30.19</x:v>
      </x:c>
      <x:c r="I22" s="20">
        <x:v>0.17100000000000001</x:v>
      </x:c>
      <x:c r="J22" s="17">
        <x:v>6.5000000000000002E-2</x:v>
      </x:c>
      <x:c r="K22" s="17" t="s">
        <x:v>246</x:v>
      </x:c>
      <x:c r="L22" s="16" t="s">
        <x:v>259</x:v>
      </x:c>
      <x:c r="M22" s="16" t="s">
        <x:v>248</x:v>
      </x:c>
      <x:c r="N22" s="16" t="s">
        <x:v>341</x:v>
      </x:c>
      <x:c r="O22" s="1"/>
      <x:c r="P22" s="1"/>
    </x:row>
    <x:row r="23" ht="15" customHeight="1">
      <x:c r="A23" s="18" t="s">
        <x:v>428</x:v>
      </x:c>
      <x:c r="B23" s="18" t="s">
        <x:v>179</x:v>
      </x:c>
      <x:c r="C23" s="18" t="s">
        <x:v>430</x:v>
      </x:c>
      <x:c r="D23" s="18" t="s">
        <x:v>231</x:v>
      </x:c>
      <x:c r="E23" s="21">
        <x:v>-0.8</x:v>
      </x:c>
      <x:c r="F23" s="21" t="s">
        <x:v>354</x:v>
      </x:c>
      <x:c r="G23" s="21" t="s">
        <x:v>355</x:v>
      </x:c>
      <x:c r="H23" s="21">
        <x:v>1.6</x:v>
      </x:c>
      <x:c r="I23" s="21">
        <x:v>1.5</x:v>
      </x:c>
      <x:c r="J23" s="19">
        <x:v>1</x:v>
      </x:c>
      <x:c r="K23" s="19" t="s">
        <x:v>235</x:v>
      </x:c>
      <x:c r="L23" s="18" t="s">
        <x:v>236</x:v>
      </x:c>
      <x:c r="M23" s="18" t="s">
        <x:v>227</x:v>
      </x:c>
      <x:c r="N23" s="18" t="s">
        <x:v>356</x:v>
      </x:c>
      <x:c r="O23" s="1"/>
      <x:c r="P23" s="1"/>
    </x:row>
    <x:row r="24" ht="15" customHeight="1">
      <x:c r="A24" s="16" t="s">
        <x:v>432</x:v>
      </x:c>
      <x:c r="B24" s="16" t="s">
        <x:v>182</x:v>
      </x:c>
      <x:c r="C24" s="16" t="s">
        <x:v>271</x:v>
      </x:c>
      <x:c r="D24" s="16" t="s">
        <x:v>365</x:v>
      </x:c>
      <x:c r="E24" s="20">
        <x:v>-2.1</x:v>
      </x:c>
      <x:c r="F24" s="20" t="s">
        <x:v>367</x:v>
      </x:c>
      <x:c r="G24" s="20" t="s">
        <x:v>368</x:v>
      </x:c>
      <x:c r="H24" s="20">
        <x:v>12.28</x:v>
      </x:c>
      <x:c r="I24" s="20">
        <x:v>0.17100000000000001</x:v>
      </x:c>
      <x:c r="J24" s="17">
        <x:v>0</x:v>
      </x:c>
      <x:c r="K24" s="17" t="s">
        <x:v>246</x:v>
      </x:c>
      <x:c r="L24" s="16" t="s">
        <x:v>247</x:v>
      </x:c>
      <x:c r="M24" s="16" t="s">
        <x:v>248</x:v>
      </x:c>
      <x:c r="N24" s="16" t="s">
        <x:v>369</x:v>
      </x:c>
      <x:c r="O24" s="1"/>
      <x:c r="P24" s="1"/>
    </x:row>
    <x:row r="25" ht="15" customHeight="1">
      <x:c r="A25" s="18" t="s">
        <x:v>435</x:v>
      </x:c>
      <x:c r="B25" s="18" t="s">
        <x:v>182</x:v>
      </x:c>
      <x:c r="C25" s="18" t="s">
        <x:v>274</x:v>
      </x:c>
      <x:c r="D25" s="18" t="s">
        <x:v>221</x:v>
      </x:c>
      <x:c r="E25" s="21">
        <x:v>-0.5</x:v>
      </x:c>
      <x:c r="F25" s="21" t="s">
        <x:v>223</x:v>
      </x:c>
      <x:c r="G25" s="21" t="s">
        <x:v>347</x:v>
      </x:c>
      <x:c r="H25" s="21">
        <x:v>1.43</x:v>
      </x:c>
      <x:c r="I25" s="21">
        <x:v>0.6</x:v>
      </x:c>
      <x:c r="J25" s="19">
        <x:v>0.25</x:v>
      </x:c>
      <x:c r="K25" s="19" t="s">
        <x:v>225</x:v>
      </x:c>
      <x:c r="L25" s="18" t="s">
        <x:v>226</x:v>
      </x:c>
      <x:c r="M25" s="18" t="s">
        <x:v>227</x:v>
      </x:c>
      <x:c r="N25" s="18" t="s">
        <x:v>348</x:v>
      </x:c>
      <x:c r="O25" s="1"/>
      <x:c r="P25" s="1"/>
    </x:row>
    <x:row r="26" ht="15" customHeight="1">
      <x:c r="A26" s="16" t="s">
        <x:v>438</x:v>
      </x:c>
      <x:c r="B26" s="16" t="s">
        <x:v>182</x:v>
      </x:c>
      <x:c r="C26" s="16" t="s">
        <x:v>439</x:v>
      </x:c>
      <x:c r="D26" s="16" t="s">
        <x:v>231</x:v>
      </x:c>
      <x:c r="E26" s="20">
        <x:v>-0.7</x:v>
      </x:c>
      <x:c r="F26" s="20" t="s">
        <x:v>354</x:v>
      </x:c>
      <x:c r="G26" s="20" t="s">
        <x:v>355</x:v>
      </x:c>
      <x:c r="H26" s="20">
        <x:v>1.4</x:v>
      </x:c>
      <x:c r="I26" s="20">
        <x:v>1.5</x:v>
      </x:c>
      <x:c r="J26" s="17">
        <x:v>1</x:v>
      </x:c>
      <x:c r="K26" s="17" t="s">
        <x:v>235</x:v>
      </x:c>
      <x:c r="L26" s="16" t="s">
        <x:v>236</x:v>
      </x:c>
      <x:c r="M26" s="16" t="s">
        <x:v>227</x:v>
      </x:c>
      <x:c r="N26" s="16" t="s">
        <x:v>356</x:v>
      </x:c>
      <x:c r="O26" s="1"/>
      <x:c r="P26" s="1"/>
    </x:row>
    <x:row r="27" ht="15" customHeight="1">
      <x:c r="A27" s="18" t="s">
        <x:v>441</x:v>
      </x:c>
      <x:c r="B27" s="18" t="s">
        <x:v>182</x:v>
      </x:c>
      <x:c r="C27" s="18" t="s">
        <x:v>443</x:v>
      </x:c>
      <x:c r="D27" s="18" t="s">
        <x:v>365</x:v>
      </x:c>
      <x:c r="E27" s="21">
        <x:v>-0.4</x:v>
      </x:c>
      <x:c r="F27" s="21" t="s">
        <x:v>367</x:v>
      </x:c>
      <x:c r="G27" s="21" t="s">
        <x:v>368</x:v>
      </x:c>
      <x:c r="H27" s="21">
        <x:v>2.34</x:v>
      </x:c>
      <x:c r="I27" s="21">
        <x:v>0.17100000000000001</x:v>
      </x:c>
      <x:c r="J27" s="19">
        <x:v>0</x:v>
      </x:c>
      <x:c r="K27" s="19" t="s">
        <x:v>246</x:v>
      </x:c>
      <x:c r="L27" s="18" t="s">
        <x:v>247</x:v>
      </x:c>
      <x:c r="M27" s="18" t="s">
        <x:v>248</x:v>
      </x:c>
      <x:c r="N27" s="18" t="s">
        <x:v>369</x:v>
      </x:c>
      <x:c r="O27" s="1"/>
      <x:c r="P27" s="1"/>
    </x:row>
    <x:row r="28" ht="15" customHeight="1">
      <x:c r="A28" s="16" t="s">
        <x:v>446</x:v>
      </x:c>
      <x:c r="B28" s="16" t="s">
        <x:v>185</x:v>
      </x:c>
      <x:c r="C28" s="16" t="s">
        <x:v>277</x:v>
      </x:c>
      <x:c r="D28" s="16" t="s">
        <x:v>221</x:v>
      </x:c>
      <x:c r="E28" s="20">
        <x:v>-1.8</x:v>
      </x:c>
      <x:c r="F28" s="20" t="s">
        <x:v>367</x:v>
      </x:c>
      <x:c r="G28" s="20" t="s">
        <x:v>368</x:v>
      </x:c>
      <x:c r="H28" s="20">
        <x:v>10.53</x:v>
      </x:c>
      <x:c r="I28" s="20">
        <x:v>0.17100000000000001</x:v>
      </x:c>
      <x:c r="J28" s="17">
        <x:v>0</x:v>
      </x:c>
      <x:c r="K28" s="17" t="s">
        <x:v>246</x:v>
      </x:c>
      <x:c r="L28" s="16" t="s">
        <x:v>247</x:v>
      </x:c>
      <x:c r="M28" s="16" t="s">
        <x:v>248</x:v>
      </x:c>
      <x:c r="N28" s="16" t="s">
        <x:v>369</x:v>
      </x:c>
      <x:c r="O28" s="1"/>
      <x:c r="P28" s="1"/>
    </x:row>
    <x:row r="29" ht="15" customHeight="1">
      <x:c r="A29" s="18" t="s">
        <x:v>449</x:v>
      </x:c>
      <x:c r="B29" s="18" t="s">
        <x:v>185</x:v>
      </x:c>
      <x:c r="C29" s="18" t="s">
        <x:v>450</x:v>
      </x:c>
      <x:c r="D29" s="18" t="s">
        <x:v>231</x:v>
      </x:c>
      <x:c r="E29" s="21">
        <x:v>-0.7</x:v>
      </x:c>
      <x:c r="F29" s="21" t="s">
        <x:v>354</x:v>
      </x:c>
      <x:c r="G29" s="21" t="s">
        <x:v>355</x:v>
      </x:c>
      <x:c r="H29" s="21">
        <x:v>1.4</x:v>
      </x:c>
      <x:c r="I29" s="21">
        <x:v>1.5</x:v>
      </x:c>
      <x:c r="J29" s="19">
        <x:v>1</x:v>
      </x:c>
      <x:c r="K29" s="19" t="s">
        <x:v>235</x:v>
      </x:c>
      <x:c r="L29" s="18" t="s">
        <x:v>236</x:v>
      </x:c>
      <x:c r="M29" s="18" t="s">
        <x:v>227</x:v>
      </x:c>
      <x:c r="N29" s="18" t="s">
        <x:v>356</x:v>
      </x:c>
      <x:c r="O29" s="1"/>
      <x:c r="P29" s="1"/>
    </x:row>
    <x:row r="30" ht="15" customHeight="1">
      <x:c r="A30" s="16" t="s">
        <x:v>452</x:v>
      </x:c>
      <x:c r="B30" s="16" t="s">
        <x:v>185</x:v>
      </x:c>
      <x:c r="C30" s="16" t="s">
        <x:v>454</x:v>
      </x:c>
      <x:c r="D30" s="16" t="s">
        <x:v>365</x:v>
      </x:c>
      <x:c r="E30" s="20">
        <x:v>-0.9</x:v>
      </x:c>
      <x:c r="F30" s="20" t="s">
        <x:v>223</x:v>
      </x:c>
      <x:c r="G30" s="20" t="s">
        <x:v>347</x:v>
      </x:c>
      <x:c r="H30" s="20">
        <x:v>2.57</x:v>
      </x:c>
      <x:c r="I30" s="20">
        <x:v>0.6</x:v>
      </x:c>
      <x:c r="J30" s="17">
        <x:v>0.25</x:v>
      </x:c>
      <x:c r="K30" s="17" t="s">
        <x:v>225</x:v>
      </x:c>
      <x:c r="L30" s="16" t="s">
        <x:v>226</x:v>
      </x:c>
      <x:c r="M30" s="16" t="s">
        <x:v>227</x:v>
      </x:c>
      <x:c r="N30" s="16" t="s">
        <x:v>348</x:v>
      </x:c>
      <x:c r="O30" s="1"/>
      <x:c r="P30" s="1"/>
    </x:row>
    <x:row r="31" ht="15" customHeight="1">
      <x:c r="A31" s="18" t="s">
        <x:v>457</x:v>
      </x:c>
      <x:c r="B31" s="18" t="s">
        <x:v>185</x:v>
      </x:c>
      <x:c r="C31" s="18" t="s">
        <x:v>459</x:v>
      </x:c>
      <x:c r="D31" s="18" t="s">
        <x:v>393</x:v>
      </x:c>
      <x:c r="E31" s="21">
        <x:v>-2.8</x:v>
      </x:c>
      <x:c r="F31" s="21" t="s">
        <x:v>265</x:v>
      </x:c>
      <x:c r="G31" s="21" t="s">
        <x:v>266</x:v>
      </x:c>
      <x:c r="H31" s="21">
        <x:v>1.87</x:v>
      </x:c>
      <x:c r="I31" s="21">
        <x:v>8</x:v>
      </x:c>
      <x:c r="J31" s="19">
        <x:v>6.5</x:v>
      </x:c>
      <x:c r="K31" s="19" t="s">
        <x:v>267</x:v>
      </x:c>
      <x:c r="L31" s="18" t="s">
        <x:v>268</x:v>
      </x:c>
      <x:c r="M31" s="18" t="s">
        <x:v>227</x:v>
      </x:c>
      <x:c r="N31" s="18" t="s">
        <x:v>395</x:v>
      </x:c>
      <x:c r="O31" s="1"/>
      <x:c r="P31" s="1"/>
    </x:row>
    <x:row r="32" ht="15" customHeight="1">
      <x:c r="A32" s="16" t="s">
        <x:v>461</x:v>
      </x:c>
      <x:c r="B32" s="16" t="s">
        <x:v>185</x:v>
      </x:c>
      <x:c r="C32" s="16" t="s">
        <x:v>462</x:v>
      </x:c>
      <x:c r="D32" s="16" t="s">
        <x:v>231</x:v>
      </x:c>
      <x:c r="E32" s="20">
        <x:v>-1.6</x:v>
      </x:c>
      <x:c r="F32" s="20" t="s">
        <x:v>354</x:v>
      </x:c>
      <x:c r="G32" s="20" t="s">
        <x:v>355</x:v>
      </x:c>
      <x:c r="H32" s="20">
        <x:v>3.2</x:v>
      </x:c>
      <x:c r="I32" s="20">
        <x:v>1.5</x:v>
      </x:c>
      <x:c r="J32" s="17">
        <x:v>1</x:v>
      </x:c>
      <x:c r="K32" s="17" t="s">
        <x:v>235</x:v>
      </x:c>
      <x:c r="L32" s="16" t="s">
        <x:v>236</x:v>
      </x:c>
      <x:c r="M32" s="16" t="s">
        <x:v>227</x:v>
      </x:c>
      <x:c r="N32" s="16" t="s">
        <x:v>356</x:v>
      </x:c>
      <x:c r="O32" s="1"/>
      <x:c r="P32" s="1"/>
    </x:row>
    <x:row r="33" ht="15" customHeight="1">
      <x:c r="A33" s="18" t="s">
        <x:v>464</x:v>
      </x:c>
      <x:c r="B33" s="18" t="s">
        <x:v>185</x:v>
      </x:c>
      <x:c r="C33" s="18" t="s">
        <x:v>466</x:v>
      </x:c>
      <x:c r="D33" s="18" t="s">
        <x:v>255</x:v>
      </x:c>
      <x:c r="E33" s="21">
        <x:v>-3</x:v>
      </x:c>
      <x:c r="F33" s="21" t="s">
        <x:v>257</x:v>
      </x:c>
      <x:c r="G33" s="21" t="s">
        <x:v>258</x:v>
      </x:c>
      <x:c r="H33" s="21">
        <x:v>28.3</x:v>
      </x:c>
      <x:c r="I33" s="21">
        <x:v>0.17100000000000001</x:v>
      </x:c>
      <x:c r="J33" s="19">
        <x:v>6.5000000000000002E-2</x:v>
      </x:c>
      <x:c r="K33" s="19" t="s">
        <x:v>246</x:v>
      </x:c>
      <x:c r="L33" s="18" t="s">
        <x:v>259</x:v>
      </x:c>
      <x:c r="M33" s="18" t="s">
        <x:v>248</x:v>
      </x:c>
      <x:c r="N33" s="18" t="s">
        <x:v>341</x:v>
      </x:c>
      <x:c r="O33" s="1"/>
      <x:c r="P33" s="1"/>
    </x:row>
    <x:row r="34" ht="15" customHeight="1">
      <x:c r="A34" s="16" t="s">
        <x:v>467</x:v>
      </x:c>
      <x:c r="B34" s="16" t="s">
        <x:v>188</x:v>
      </x:c>
      <x:c r="C34" s="16" t="s">
        <x:v>280</x:v>
      </x:c>
      <x:c r="D34" s="16" t="s">
        <x:v>365</x:v>
      </x:c>
      <x:c r="E34" s="20">
        <x:v>-1.4</x:v>
      </x:c>
      <x:c r="F34" s="20" t="s">
        <x:v>367</x:v>
      </x:c>
      <x:c r="G34" s="20" t="s">
        <x:v>368</x:v>
      </x:c>
      <x:c r="H34" s="20">
        <x:v>8.19</x:v>
      </x:c>
      <x:c r="I34" s="20">
        <x:v>0.17100000000000001</x:v>
      </x:c>
      <x:c r="J34" s="17">
        <x:v>0</x:v>
      </x:c>
      <x:c r="K34" s="17" t="s">
        <x:v>246</x:v>
      </x:c>
      <x:c r="L34" s="16" t="s">
        <x:v>247</x:v>
      </x:c>
      <x:c r="M34" s="16" t="s">
        <x:v>248</x:v>
      </x:c>
      <x:c r="N34" s="16" t="s">
        <x:v>369</x:v>
      </x:c>
      <x:c r="O34" s="1"/>
      <x:c r="P34" s="1"/>
    </x:row>
    <x:row r="35" ht="15" customHeight="1">
      <x:c r="A35" s="18" t="s">
        <x:v>469</x:v>
      </x:c>
      <x:c r="B35" s="18" t="s">
        <x:v>188</x:v>
      </x:c>
      <x:c r="C35" s="18" t="s">
        <x:v>283</x:v>
      </x:c>
      <x:c r="D35" s="18" t="s">
        <x:v>221</x:v>
      </x:c>
      <x:c r="E35" s="21">
        <x:v>-0.7</x:v>
      </x:c>
      <x:c r="F35" s="21" t="s">
        <x:v>223</x:v>
      </x:c>
      <x:c r="G35" s="21" t="s">
        <x:v>347</x:v>
      </x:c>
      <x:c r="H35" s="21">
        <x:v>2</x:v>
      </x:c>
      <x:c r="I35" s="21">
        <x:v>0.6</x:v>
      </x:c>
      <x:c r="J35" s="19">
        <x:v>0.25</x:v>
      </x:c>
      <x:c r="K35" s="19" t="s">
        <x:v>225</x:v>
      </x:c>
      <x:c r="L35" s="18" t="s">
        <x:v>226</x:v>
      </x:c>
      <x:c r="M35" s="18" t="s">
        <x:v>227</x:v>
      </x:c>
      <x:c r="N35" s="18" t="s">
        <x:v>348</x:v>
      </x:c>
      <x:c r="O35" s="1"/>
      <x:c r="P35" s="1"/>
    </x:row>
    <x:row r="36" ht="15" customHeight="1">
      <x:c r="A36" s="16" t="s">
        <x:v>471</x:v>
      </x:c>
      <x:c r="B36" s="16" t="s">
        <x:v>188</x:v>
      </x:c>
      <x:c r="C36" s="16" t="s">
        <x:v>472</x:v>
      </x:c>
      <x:c r="D36" s="16" t="s">
        <x:v>221</x:v>
      </x:c>
      <x:c r="E36" s="20">
        <x:v>-0.6</x:v>
      </x:c>
      <x:c r="F36" s="20" t="s">
        <x:v>223</x:v>
      </x:c>
      <x:c r="G36" s="20" t="s">
        <x:v>347</x:v>
      </x:c>
      <x:c r="H36" s="20">
        <x:v>1.71</x:v>
      </x:c>
      <x:c r="I36" s="20">
        <x:v>0.6</x:v>
      </x:c>
      <x:c r="J36" s="17">
        <x:v>0.25</x:v>
      </x:c>
      <x:c r="K36" s="17" t="s">
        <x:v>225</x:v>
      </x:c>
      <x:c r="L36" s="16" t="s">
        <x:v>226</x:v>
      </x:c>
      <x:c r="M36" s="16" t="s">
        <x:v>227</x:v>
      </x:c>
      <x:c r="N36" s="16" t="s">
        <x:v>348</x:v>
      </x:c>
      <x:c r="O36" s="1"/>
      <x:c r="P36" s="1"/>
    </x:row>
    <x:row r="37" ht="15" customHeight="1">
      <x:c r="A37" s="18" t="s">
        <x:v>475</x:v>
      </x:c>
      <x:c r="B37" s="18" t="s">
        <x:v>188</x:v>
      </x:c>
      <x:c r="C37" s="18" t="s">
        <x:v>476</x:v>
      </x:c>
      <x:c r="D37" s="18" t="s">
        <x:v>393</x:v>
      </x:c>
      <x:c r="E37" s="21">
        <x:v>-2.8</x:v>
      </x:c>
      <x:c r="F37" s="21" t="s">
        <x:v>265</x:v>
      </x:c>
      <x:c r="G37" s="21" t="s">
        <x:v>266</x:v>
      </x:c>
      <x:c r="H37" s="21">
        <x:v>1.87</x:v>
      </x:c>
      <x:c r="I37" s="21">
        <x:v>8</x:v>
      </x:c>
      <x:c r="J37" s="19">
        <x:v>6.5</x:v>
      </x:c>
      <x:c r="K37" s="19" t="s">
        <x:v>267</x:v>
      </x:c>
      <x:c r="L37" s="18" t="s">
        <x:v>268</x:v>
      </x:c>
      <x:c r="M37" s="18" t="s">
        <x:v>227</x:v>
      </x:c>
      <x:c r="N37" s="18" t="s">
        <x:v>395</x:v>
      </x:c>
      <x:c r="O37" s="1"/>
      <x:c r="P37" s="1"/>
    </x:row>
    <x:row r="38" ht="15" customHeight="1">
      <x:c r="A38" s="16" t="s">
        <x:v>477</x:v>
      </x:c>
      <x:c r="B38" s="16" t="s">
        <x:v>188</x:v>
      </x:c>
      <x:c r="C38" s="16" t="s">
        <x:v>478</x:v>
      </x:c>
      <x:c r="D38" s="16" t="s">
        <x:v>365</x:v>
      </x:c>
      <x:c r="E38" s="20">
        <x:v>-1.1000000000000001</x:v>
      </x:c>
      <x:c r="F38" s="20" t="s">
        <x:v>367</x:v>
      </x:c>
      <x:c r="G38" s="20" t="s">
        <x:v>368</x:v>
      </x:c>
      <x:c r="H38" s="20">
        <x:v>6.43</x:v>
      </x:c>
      <x:c r="I38" s="20">
        <x:v>0.17100000000000001</x:v>
      </x:c>
      <x:c r="J38" s="17">
        <x:v>0</x:v>
      </x:c>
      <x:c r="K38" s="17" t="s">
        <x:v>246</x:v>
      </x:c>
      <x:c r="L38" s="16" t="s">
        <x:v>247</x:v>
      </x:c>
      <x:c r="M38" s="16" t="s">
        <x:v>248</x:v>
      </x:c>
      <x:c r="N38" s="16" t="s">
        <x:v>369</x:v>
      </x:c>
      <x:c r="O38" s="1"/>
      <x:c r="P38" s="1"/>
    </x:row>
    <x:row r="39" ht="15" customHeight="1">
      <x:c r="A39" s="18" t="s">
        <x:v>480</x:v>
      </x:c>
      <x:c r="B39" s="18" t="s">
        <x:v>188</x:v>
      </x:c>
      <x:c r="C39" s="18" t="s">
        <x:v>481</x:v>
      </x:c>
      <x:c r="D39" s="18" t="s">
        <x:v>255</x:v>
      </x:c>
      <x:c r="E39" s="21">
        <x:v>-3</x:v>
      </x:c>
      <x:c r="F39" s="21" t="s">
        <x:v>257</x:v>
      </x:c>
      <x:c r="G39" s="21" t="s">
        <x:v>258</x:v>
      </x:c>
      <x:c r="H39" s="21">
        <x:v>28.3</x:v>
      </x:c>
      <x:c r="I39" s="21">
        <x:v>0.17100000000000001</x:v>
      </x:c>
      <x:c r="J39" s="19">
        <x:v>6.5000000000000002E-2</x:v>
      </x:c>
      <x:c r="K39" s="19" t="s">
        <x:v>246</x:v>
      </x:c>
      <x:c r="L39" s="18" t="s">
        <x:v>259</x:v>
      </x:c>
      <x:c r="M39" s="18" t="s">
        <x:v>248</x:v>
      </x:c>
      <x:c r="N39" s="18" t="s">
        <x:v>341</x:v>
      </x:c>
      <x:c r="O39" s="1"/>
      <x:c r="P39" s="1"/>
    </x:row>
    <x:row r="40" ht="15" customHeight="1">
      <x:c r="A40" s="16" t="s">
        <x:v>482</x:v>
      </x:c>
      <x:c r="B40" s="16" t="s">
        <x:v>191</x:v>
      </x:c>
      <x:c r="C40" s="16" t="s">
        <x:v>483</x:v>
      </x:c>
      <x:c r="D40" s="16" t="s">
        <x:v>365</x:v>
      </x:c>
      <x:c r="E40" s="20">
        <x:v>-1.6</x:v>
      </x:c>
      <x:c r="F40" s="20" t="s">
        <x:v>367</x:v>
      </x:c>
      <x:c r="G40" s="20" t="s">
        <x:v>368</x:v>
      </x:c>
      <x:c r="H40" s="20">
        <x:v>9.36</x:v>
      </x:c>
      <x:c r="I40" s="20">
        <x:v>0.17100000000000001</x:v>
      </x:c>
      <x:c r="J40" s="17">
        <x:v>0</x:v>
      </x:c>
      <x:c r="K40" s="17" t="s">
        <x:v>246</x:v>
      </x:c>
      <x:c r="L40" s="16" t="s">
        <x:v>247</x:v>
      </x:c>
      <x:c r="M40" s="16" t="s">
        <x:v>248</x:v>
      </x:c>
      <x:c r="N40" s="16" t="s">
        <x:v>369</x:v>
      </x:c>
      <x:c r="O40" s="1"/>
      <x:c r="P40" s="1"/>
    </x:row>
    <x:row r="41" ht="15" customHeight="1">
      <x:c r="A41" s="18" t="s">
        <x:v>485</x:v>
      </x:c>
      <x:c r="B41" s="18" t="s">
        <x:v>191</x:v>
      </x:c>
      <x:c r="C41" s="18" t="s">
        <x:v>289</x:v>
      </x:c>
      <x:c r="D41" s="18" t="s">
        <x:v>221</x:v>
      </x:c>
      <x:c r="E41" s="21">
        <x:v>-0.4</x:v>
      </x:c>
      <x:c r="F41" s="21" t="s">
        <x:v>223</x:v>
      </x:c>
      <x:c r="G41" s="21" t="s">
        <x:v>347</x:v>
      </x:c>
      <x:c r="H41" s="21">
        <x:v>1.1399999999999999</x:v>
      </x:c>
      <x:c r="I41" s="21">
        <x:v>0.6</x:v>
      </x:c>
      <x:c r="J41" s="19">
        <x:v>0.25</x:v>
      </x:c>
      <x:c r="K41" s="19" t="s">
        <x:v>225</x:v>
      </x:c>
      <x:c r="L41" s="18" t="s">
        <x:v>226</x:v>
      </x:c>
      <x:c r="M41" s="18" t="s">
        <x:v>227</x:v>
      </x:c>
      <x:c r="N41" s="18" t="s">
        <x:v>348</x:v>
      </x:c>
      <x:c r="O41" s="1"/>
      <x:c r="P41" s="1"/>
    </x:row>
    <x:row r="42" ht="15" customHeight="1">
      <x:c r="A42" s="16" t="s">
        <x:v>488</x:v>
      </x:c>
      <x:c r="B42" s="16" t="s">
        <x:v>191</x:v>
      </x:c>
      <x:c r="C42" s="16" t="s">
        <x:v>489</x:v>
      </x:c>
      <x:c r="D42" s="16" t="s">
        <x:v>231</x:v>
      </x:c>
      <x:c r="E42" s="20">
        <x:v>-0.6</x:v>
      </x:c>
      <x:c r="F42" s="20" t="s">
        <x:v>354</x:v>
      </x:c>
      <x:c r="G42" s="20" t="s">
        <x:v>355</x:v>
      </x:c>
      <x:c r="H42" s="20">
        <x:v>1.2</x:v>
      </x:c>
      <x:c r="I42" s="20">
        <x:v>1.5</x:v>
      </x:c>
      <x:c r="J42" s="17">
        <x:v>1</x:v>
      </x:c>
      <x:c r="K42" s="17" t="s">
        <x:v>235</x:v>
      </x:c>
      <x:c r="L42" s="16" t="s">
        <x:v>236</x:v>
      </x:c>
      <x:c r="M42" s="16" t="s">
        <x:v>227</x:v>
      </x:c>
      <x:c r="N42" s="16" t="s">
        <x:v>356</x:v>
      </x:c>
      <x:c r="O42" s="1"/>
      <x:c r="P42" s="1"/>
    </x:row>
    <x:row r="43" ht="15" customHeight="1">
      <x:c r="A43" s="18" t="s">
        <x:v>491</x:v>
      </x:c>
      <x:c r="B43" s="18" t="s">
        <x:v>191</x:v>
      </x:c>
      <x:c r="C43" s="18" t="s">
        <x:v>493</x:v>
      </x:c>
      <x:c r="D43" s="18" t="s">
        <x:v>221</x:v>
      </x:c>
      <x:c r="E43" s="21">
        <x:v>-0.7</x:v>
      </x:c>
      <x:c r="F43" s="21" t="s">
        <x:v>223</x:v>
      </x:c>
      <x:c r="G43" s="21" t="s">
        <x:v>347</x:v>
      </x:c>
      <x:c r="H43" s="21">
        <x:v>2</x:v>
      </x:c>
      <x:c r="I43" s="21">
        <x:v>0.6</x:v>
      </x:c>
      <x:c r="J43" s="19">
        <x:v>0.25</x:v>
      </x:c>
      <x:c r="K43" s="19" t="s">
        <x:v>225</x:v>
      </x:c>
      <x:c r="L43" s="18" t="s">
        <x:v>226</x:v>
      </x:c>
      <x:c r="M43" s="18" t="s">
        <x:v>227</x:v>
      </x:c>
      <x:c r="N43" s="18" t="s">
        <x:v>348</x:v>
      </x:c>
      <x:c r="O43" s="1"/>
      <x:c r="P43" s="1"/>
    </x:row>
    <x:row r="44" ht="15" customHeight="1">
      <x:c r="A44" s="16" t="s">
        <x:v>496</x:v>
      </x:c>
      <x:c r="B44" s="16" t="s">
        <x:v>191</x:v>
      </x:c>
      <x:c r="C44" s="16" t="s">
        <x:v>497</x:v>
      </x:c>
      <x:c r="D44" s="16" t="s">
        <x:v>255</x:v>
      </x:c>
      <x:c r="E44" s="20">
        <x:v>-3</x:v>
      </x:c>
      <x:c r="F44" s="20" t="s">
        <x:v>257</x:v>
      </x:c>
      <x:c r="G44" s="20" t="s">
        <x:v>258</x:v>
      </x:c>
      <x:c r="H44" s="20">
        <x:v>28.3</x:v>
      </x:c>
      <x:c r="I44" s="20">
        <x:v>0.17100000000000001</x:v>
      </x:c>
      <x:c r="J44" s="17">
        <x:v>6.5000000000000002E-2</x:v>
      </x:c>
      <x:c r="K44" s="17" t="s">
        <x:v>246</x:v>
      </x:c>
      <x:c r="L44" s="16" t="s">
        <x:v>259</x:v>
      </x:c>
      <x:c r="M44" s="16" t="s">
        <x:v>248</x:v>
      </x:c>
      <x:c r="N44" s="16" t="s">
        <x:v>341</x:v>
      </x:c>
      <x:c r="O44" s="1"/>
      <x:c r="P44" s="1"/>
    </x:row>
    <x:row r="45" ht="15" customHeight="1">
      <x:c r="A45" s="18" t="s">
        <x:v>498</x:v>
      </x:c>
      <x:c r="B45" s="18" t="s">
        <x:v>191</x:v>
      </x:c>
      <x:c r="C45" s="18" t="s">
        <x:v>499</x:v>
      </x:c>
      <x:c r="D45" s="18" t="s">
        <x:v>365</x:v>
      </x:c>
      <x:c r="E45" s="21">
        <x:v>-0.5</x:v>
      </x:c>
      <x:c r="F45" s="21" t="s">
        <x:v>223</x:v>
      </x:c>
      <x:c r="G45" s="21" t="s">
        <x:v>347</x:v>
      </x:c>
      <x:c r="H45" s="21">
        <x:v>1.43</x:v>
      </x:c>
      <x:c r="I45" s="21">
        <x:v>0.6</x:v>
      </x:c>
      <x:c r="J45" s="19">
        <x:v>0.25</x:v>
      </x:c>
      <x:c r="K45" s="19" t="s">
        <x:v>225</x:v>
      </x:c>
      <x:c r="L45" s="18" t="s">
        <x:v>226</x:v>
      </x:c>
      <x:c r="M45" s="18" t="s">
        <x:v>227</x:v>
      </x:c>
      <x:c r="N45" s="18" t="s">
        <x:v>348</x:v>
      </x:c>
      <x:c r="O45" s="1"/>
      <x:c r="P45" s="1"/>
    </x:row>
    <x:row r="46" ht="15" customHeight="1">
      <x:c r="A46" s="16" t="s">
        <x:v>500</x:v>
      </x:c>
      <x:c r="B46" s="16" t="s">
        <x:v>194</x:v>
      </x:c>
      <x:c r="C46" s="16" t="s">
        <x:v>307</x:v>
      </x:c>
      <x:c r="D46" s="16" t="s">
        <x:v>221</x:v>
      </x:c>
      <x:c r="E46" s="20">
        <x:v>-1</x:v>
      </x:c>
      <x:c r="F46" s="20" t="s">
        <x:v>223</x:v>
      </x:c>
      <x:c r="G46" s="20" t="s">
        <x:v>347</x:v>
      </x:c>
      <x:c r="H46" s="20">
        <x:v>2.86</x:v>
      </x:c>
      <x:c r="I46" s="20">
        <x:v>0.6</x:v>
      </x:c>
      <x:c r="J46" s="17">
        <x:v>0.25</x:v>
      </x:c>
      <x:c r="K46" s="17" t="s">
        <x:v>225</x:v>
      </x:c>
      <x:c r="L46" s="16" t="s">
        <x:v>226</x:v>
      </x:c>
      <x:c r="M46" s="16" t="s">
        <x:v>227</x:v>
      </x:c>
      <x:c r="N46" s="16" t="s">
        <x:v>348</x:v>
      </x:c>
      <x:c r="O46" s="1"/>
      <x:c r="P46" s="1"/>
    </x:row>
    <x:row r="47" ht="15" customHeight="1">
      <x:c r="A47" s="18" t="s">
        <x:v>502</x:v>
      </x:c>
      <x:c r="B47" s="18" t="s">
        <x:v>194</x:v>
      </x:c>
      <x:c r="C47" s="18" t="s">
        <x:v>503</x:v>
      </x:c>
      <x:c r="D47" s="18" t="s">
        <x:v>231</x:v>
      </x:c>
      <x:c r="E47" s="21">
        <x:v>-0.6</x:v>
      </x:c>
      <x:c r="F47" s="21" t="s">
        <x:v>354</x:v>
      </x:c>
      <x:c r="G47" s="21" t="s">
        <x:v>355</x:v>
      </x:c>
      <x:c r="H47" s="21">
        <x:v>1.2</x:v>
      </x:c>
      <x:c r="I47" s="21">
        <x:v>1.5</x:v>
      </x:c>
      <x:c r="J47" s="19">
        <x:v>1</x:v>
      </x:c>
      <x:c r="K47" s="19" t="s">
        <x:v>235</x:v>
      </x:c>
      <x:c r="L47" s="18" t="s">
        <x:v>236</x:v>
      </x:c>
      <x:c r="M47" s="18" t="s">
        <x:v>227</x:v>
      </x:c>
      <x:c r="N47" s="18" t="s">
        <x:v>356</x:v>
      </x:c>
      <x:c r="O47" s="1"/>
      <x:c r="P47" s="1"/>
    </x:row>
    <x:row r="48" ht="15" customHeight="1">
      <x:c r="A48" s="16" t="s">
        <x:v>505</x:v>
      </x:c>
      <x:c r="B48" s="16" t="s">
        <x:v>194</x:v>
      </x:c>
      <x:c r="C48" s="16" t="s">
        <x:v>507</x:v>
      </x:c>
      <x:c r="D48" s="16" t="s">
        <x:v>365</x:v>
      </x:c>
      <x:c r="E48" s="20">
        <x:v>-1.2</x:v>
      </x:c>
      <x:c r="F48" s="20" t="s">
        <x:v>223</x:v>
      </x:c>
      <x:c r="G48" s="20" t="s">
        <x:v>347</x:v>
      </x:c>
      <x:c r="H48" s="20">
        <x:v>3.43</x:v>
      </x:c>
      <x:c r="I48" s="20">
        <x:v>0.6</x:v>
      </x:c>
      <x:c r="J48" s="17">
        <x:v>0.25</x:v>
      </x:c>
      <x:c r="K48" s="17" t="s">
        <x:v>225</x:v>
      </x:c>
      <x:c r="L48" s="16" t="s">
        <x:v>226</x:v>
      </x:c>
      <x:c r="M48" s="16" t="s">
        <x:v>227</x:v>
      </x:c>
      <x:c r="N48" s="16" t="s">
        <x:v>348</x:v>
      </x:c>
      <x:c r="O48" s="1"/>
      <x:c r="P48" s="1"/>
    </x:row>
    <x:row r="49" ht="15" customHeight="1">
      <x:c r="A49" s="18" t="s">
        <x:v>509</x:v>
      </x:c>
      <x:c r="B49" s="18" t="s">
        <x:v>194</x:v>
      </x:c>
      <x:c r="C49" s="18" t="s">
        <x:v>511</x:v>
      </x:c>
      <x:c r="D49" s="18" t="s">
        <x:v>221</x:v>
      </x:c>
      <x:c r="E49" s="21">
        <x:v>-0.5</x:v>
      </x:c>
      <x:c r="F49" s="21" t="s">
        <x:v>367</x:v>
      </x:c>
      <x:c r="G49" s="21" t="s">
        <x:v>368</x:v>
      </x:c>
      <x:c r="H49" s="21">
        <x:v>2.92</x:v>
      </x:c>
      <x:c r="I49" s="21">
        <x:v>0.17100000000000001</x:v>
      </x:c>
      <x:c r="J49" s="19">
        <x:v>0</x:v>
      </x:c>
      <x:c r="K49" s="19" t="s">
        <x:v>246</x:v>
      </x:c>
      <x:c r="L49" s="18" t="s">
        <x:v>247</x:v>
      </x:c>
      <x:c r="M49" s="18" t="s">
        <x:v>248</x:v>
      </x:c>
      <x:c r="N49" s="18" t="s">
        <x:v>369</x:v>
      </x:c>
      <x:c r="O49" s="1"/>
      <x:c r="P49" s="1"/>
    </x:row>
    <x:row r="50" ht="15" customHeight="1">
      <x:c r="A50" s="16" t="s">
        <x:v>513</x:v>
      </x:c>
      <x:c r="B50" s="16" t="s">
        <x:v>194</x:v>
      </x:c>
      <x:c r="C50" s="16" t="s">
        <x:v>514</x:v>
      </x:c>
      <x:c r="D50" s="16" t="s">
        <x:v>255</x:v>
      </x:c>
      <x:c r="E50" s="20">
        <x:v>-4.2</x:v>
      </x:c>
      <x:c r="F50" s="20" t="s">
        <x:v>517</x:v>
      </x:c>
      <x:c r="G50" s="20" t="s">
        <x:v>324</x:v>
      </x:c>
      <x:c r="H50" s="20">
        <x:v>33.33</x:v>
      </x:c>
      <x:c r="I50" s="20">
        <x:v>0.17100000000000001</x:v>
      </x:c>
      <x:c r="J50" s="17">
        <x:v>4.4999999999999998E-2</x:v>
      </x:c>
      <x:c r="K50" s="17" t="s">
        <x:v>246</x:v>
      </x:c>
      <x:c r="L50" s="16" t="s">
        <x:v>325</x:v>
      </x:c>
      <x:c r="M50" s="16" t="s">
        <x:v>248</x:v>
      </x:c>
      <x:c r="N50" s="16" t="s">
        <x:v>341</x:v>
      </x:c>
      <x:c r="O50" s="1"/>
      <x:c r="P50" s="1"/>
    </x:row>
    <x:row r="51" ht="15" customHeight="1">
      <x:c r="A51" s="18" t="s">
        <x:v>518</x:v>
      </x:c>
      <x:c r="B51" s="18" t="s">
        <x:v>194</x:v>
      </x:c>
      <x:c r="C51" s="18" t="s">
        <x:v>520</x:v>
      </x:c>
      <x:c r="D51" s="18" t="s">
        <x:v>231</x:v>
      </x:c>
      <x:c r="E51" s="21">
        <x:v>-0.5</x:v>
      </x:c>
      <x:c r="F51" s="21" t="s">
        <x:v>354</x:v>
      </x:c>
      <x:c r="G51" s="21" t="s">
        <x:v>355</x:v>
      </x:c>
      <x:c r="H51" s="21">
        <x:v>1</x:v>
      </x:c>
      <x:c r="I51" s="21">
        <x:v>1.5</x:v>
      </x:c>
      <x:c r="J51" s="19">
        <x:v>1</x:v>
      </x:c>
      <x:c r="K51" s="19" t="s">
        <x:v>235</x:v>
      </x:c>
      <x:c r="L51" s="18" t="s">
        <x:v>236</x:v>
      </x:c>
      <x:c r="M51" s="18" t="s">
        <x:v>227</x:v>
      </x:c>
      <x:c r="N51" s="18" t="s">
        <x:v>356</x:v>
      </x:c>
      <x:c r="O51" s="1"/>
      <x:c r="P51" s="1"/>
    </x:row>
    <x:row r="52" ht="15" customHeight="1">
      <x:c r="A52" s="16" t="s">
        <x:v>521</x:v>
      </x:c>
      <x:c r="B52" s="16" t="s">
        <x:v>197</x:v>
      </x:c>
      <x:c r="C52" s="16" t="s">
        <x:v>522</x:v>
      </x:c>
      <x:c r="D52" s="16" t="s">
        <x:v>255</x:v>
      </x:c>
      <x:c r="E52" s="20">
        <x:v>-4.2</x:v>
      </x:c>
      <x:c r="F52" s="20" t="s">
        <x:v>517</x:v>
      </x:c>
      <x:c r="G52" s="20" t="s">
        <x:v>324</x:v>
      </x:c>
      <x:c r="H52" s="20">
        <x:v>33.33</x:v>
      </x:c>
      <x:c r="I52" s="20">
        <x:v>0.17100000000000001</x:v>
      </x:c>
      <x:c r="J52" s="17">
        <x:v>4.4999999999999998E-2</x:v>
      </x:c>
      <x:c r="K52" s="17" t="s">
        <x:v>246</x:v>
      </x:c>
      <x:c r="L52" s="16" t="s">
        <x:v>325</x:v>
      </x:c>
      <x:c r="M52" s="16" t="s">
        <x:v>248</x:v>
      </x:c>
      <x:c r="N52" s="16" t="s">
        <x:v>341</x:v>
      </x:c>
      <x:c r="O52" s="1"/>
      <x:c r="P52" s="1"/>
    </x:row>
    <x:row r="53" ht="15" customHeight="1">
      <x:c r="A53" s="18" t="s">
        <x:v>523</x:v>
      </x:c>
      <x:c r="B53" s="18" t="s">
        <x:v>197</x:v>
      </x:c>
      <x:c r="C53" s="18" t="s">
        <x:v>524</x:v>
      </x:c>
      <x:c r="D53" s="18" t="s">
        <x:v>221</x:v>
      </x:c>
      <x:c r="E53" s="21">
        <x:v>-0.8</x:v>
      </x:c>
      <x:c r="F53" s="21" t="s">
        <x:v>223</x:v>
      </x:c>
      <x:c r="G53" s="21" t="s">
        <x:v>347</x:v>
      </x:c>
      <x:c r="H53" s="21">
        <x:v>2.29</x:v>
      </x:c>
      <x:c r="I53" s="21">
        <x:v>0.6</x:v>
      </x:c>
      <x:c r="J53" s="19">
        <x:v>0.25</x:v>
      </x:c>
      <x:c r="K53" s="19" t="s">
        <x:v>225</x:v>
      </x:c>
      <x:c r="L53" s="18" t="s">
        <x:v>226</x:v>
      </x:c>
      <x:c r="M53" s="18" t="s">
        <x:v>227</x:v>
      </x:c>
      <x:c r="N53" s="18" t="s">
        <x:v>348</x:v>
      </x:c>
      <x:c r="O53" s="1"/>
      <x:c r="P53" s="1"/>
    </x:row>
    <x:row r="54" ht="15" customHeight="1">
      <x:c r="A54" s="16" t="s">
        <x:v>526</x:v>
      </x:c>
      <x:c r="B54" s="16" t="s">
        <x:v>197</x:v>
      </x:c>
      <x:c r="C54" s="16" t="s">
        <x:v>527</x:v>
      </x:c>
      <x:c r="D54" s="16" t="s">
        <x:v>231</x:v>
      </x:c>
      <x:c r="E54" s="20">
        <x:v>-0.4</x:v>
      </x:c>
      <x:c r="F54" s="20" t="s">
        <x:v>354</x:v>
      </x:c>
      <x:c r="G54" s="20" t="s">
        <x:v>355</x:v>
      </x:c>
      <x:c r="H54" s="20">
        <x:v>0.8</x:v>
      </x:c>
      <x:c r="I54" s="20">
        <x:v>1.5</x:v>
      </x:c>
      <x:c r="J54" s="17">
        <x:v>1</x:v>
      </x:c>
      <x:c r="K54" s="17" t="s">
        <x:v>235</x:v>
      </x:c>
      <x:c r="L54" s="16" t="s">
        <x:v>236</x:v>
      </x:c>
      <x:c r="M54" s="16" t="s">
        <x:v>227</x:v>
      </x:c>
      <x:c r="N54" s="16" t="s">
        <x:v>356</x:v>
      </x:c>
      <x:c r="O54" s="1"/>
      <x:c r="P54" s="1"/>
    </x:row>
    <x:row r="55" ht="15" customHeight="1">
      <x:c r="A55" s="18" t="s">
        <x:v>528</x:v>
      </x:c>
      <x:c r="B55" s="18" t="s">
        <x:v>197</x:v>
      </x:c>
      <x:c r="C55" s="18" t="s">
        <x:v>529</x:v>
      </x:c>
      <x:c r="D55" s="18" t="s">
        <x:v>255</x:v>
      </x:c>
      <x:c r="E55" s="21">
        <x:v>-4.2</x:v>
      </x:c>
      <x:c r="F55" s="21" t="s">
        <x:v>517</x:v>
      </x:c>
      <x:c r="G55" s="21" t="s">
        <x:v>324</x:v>
      </x:c>
      <x:c r="H55" s="21">
        <x:v>33.33</x:v>
      </x:c>
      <x:c r="I55" s="21">
        <x:v>0.17100000000000001</x:v>
      </x:c>
      <x:c r="J55" s="19">
        <x:v>4.4999999999999998E-2</x:v>
      </x:c>
      <x:c r="K55" s="19" t="s">
        <x:v>246</x:v>
      </x:c>
      <x:c r="L55" s="18" t="s">
        <x:v>325</x:v>
      </x:c>
      <x:c r="M55" s="18" t="s">
        <x:v>248</x:v>
      </x:c>
      <x:c r="N55" s="18" t="s">
        <x:v>341</x:v>
      </x:c>
      <x:c r="O55" s="1"/>
      <x:c r="P55" s="1"/>
    </x:row>
    <x:row r="56" ht="15" customHeight="1">
      <x:c r="A56" s="16" t="s">
        <x:v>530</x:v>
      </x:c>
      <x:c r="B56" s="16" t="s">
        <x:v>200</x:v>
      </x:c>
      <x:c r="C56" s="16" t="s">
        <x:v>531</x:v>
      </x:c>
      <x:c r="D56" s="16" t="s">
        <x:v>365</x:v>
      </x:c>
      <x:c r="E56" s="20">
        <x:v>-1.6</x:v>
      </x:c>
      <x:c r="F56" s="20" t="s">
        <x:v>223</x:v>
      </x:c>
      <x:c r="G56" s="20" t="s">
        <x:v>347</x:v>
      </x:c>
      <x:c r="H56" s="20">
        <x:v>4.57</x:v>
      </x:c>
      <x:c r="I56" s="20">
        <x:v>0.6</x:v>
      </x:c>
      <x:c r="J56" s="17">
        <x:v>0.25</x:v>
      </x:c>
      <x:c r="K56" s="17" t="s">
        <x:v>225</x:v>
      </x:c>
      <x:c r="L56" s="16" t="s">
        <x:v>226</x:v>
      </x:c>
      <x:c r="M56" s="16" t="s">
        <x:v>227</x:v>
      </x:c>
      <x:c r="N56" s="16" t="s">
        <x:v>348</x:v>
      </x:c>
      <x:c r="O56" s="1"/>
      <x:c r="P56" s="1"/>
    </x:row>
    <x:row r="57" ht="15" customHeight="1">
      <x:c r="A57" s="18" t="s">
        <x:v>533</x:v>
      </x:c>
      <x:c r="B57" s="18" t="s">
        <x:v>200</x:v>
      </x:c>
      <x:c r="C57" s="18" t="s">
        <x:v>313</x:v>
      </x:c>
      <x:c r="D57" s="18" t="s">
        <x:v>221</x:v>
      </x:c>
      <x:c r="E57" s="21">
        <x:v>-1.4</x:v>
      </x:c>
      <x:c r="F57" s="21" t="s">
        <x:v>223</x:v>
      </x:c>
      <x:c r="G57" s="21" t="s">
        <x:v>347</x:v>
      </x:c>
      <x:c r="H57" s="21">
        <x:v>4</x:v>
      </x:c>
      <x:c r="I57" s="21">
        <x:v>0.6</x:v>
      </x:c>
      <x:c r="J57" s="19">
        <x:v>0.25</x:v>
      </x:c>
      <x:c r="K57" s="19" t="s">
        <x:v>225</x:v>
      </x:c>
      <x:c r="L57" s="18" t="s">
        <x:v>226</x:v>
      </x:c>
      <x:c r="M57" s="18" t="s">
        <x:v>227</x:v>
      </x:c>
      <x:c r="N57" s="18" t="s">
        <x:v>348</x:v>
      </x:c>
      <x:c r="O57" s="1"/>
      <x:c r="P57" s="1"/>
    </x:row>
    <x:row r="58" ht="15" customHeight="1">
      <x:c r="A58" s="16" t="s">
        <x:v>535</x:v>
      </x:c>
      <x:c r="B58" s="16" t="s">
        <x:v>200</x:v>
      </x:c>
      <x:c r="C58" s="16" t="s">
        <x:v>536</x:v>
      </x:c>
      <x:c r="D58" s="16" t="s">
        <x:v>221</x:v>
      </x:c>
      <x:c r="E58" s="20">
        <x:v>-1.1000000000000001</x:v>
      </x:c>
      <x:c r="F58" s="20" t="s">
        <x:v>367</x:v>
      </x:c>
      <x:c r="G58" s="20" t="s">
        <x:v>368</x:v>
      </x:c>
      <x:c r="H58" s="20">
        <x:v>6.43</x:v>
      </x:c>
      <x:c r="I58" s="20">
        <x:v>0.17100000000000001</x:v>
      </x:c>
      <x:c r="J58" s="17">
        <x:v>0</x:v>
      </x:c>
      <x:c r="K58" s="17" t="s">
        <x:v>246</x:v>
      </x:c>
      <x:c r="L58" s="16" t="s">
        <x:v>247</x:v>
      </x:c>
      <x:c r="M58" s="16" t="s">
        <x:v>248</x:v>
      </x:c>
      <x:c r="N58" s="16" t="s">
        <x:v>369</x:v>
      </x:c>
      <x:c r="O58" s="1"/>
      <x:c r="P58" s="1"/>
    </x:row>
    <x:row r="59" ht="15" customHeight="1">
      <x:c r="A59" s="18" t="s">
        <x:v>539</x:v>
      </x:c>
      <x:c r="B59" s="18" t="s">
        <x:v>200</x:v>
      </x:c>
      <x:c r="C59" s="18" t="s">
        <x:v>541</x:v>
      </x:c>
      <x:c r="D59" s="18" t="s">
        <x:v>393</x:v>
      </x:c>
      <x:c r="E59" s="21">
        <x:v>-2.7</x:v>
      </x:c>
      <x:c r="F59" s="21" t="s">
        <x:v>265</x:v>
      </x:c>
      <x:c r="G59" s="21" t="s">
        <x:v>266</x:v>
      </x:c>
      <x:c r="H59" s="21">
        <x:v>1.8</x:v>
      </x:c>
      <x:c r="I59" s="21">
        <x:v>8</x:v>
      </x:c>
      <x:c r="J59" s="19">
        <x:v>6.5</x:v>
      </x:c>
      <x:c r="K59" s="19" t="s">
        <x:v>267</x:v>
      </x:c>
      <x:c r="L59" s="18" t="s">
        <x:v>268</x:v>
      </x:c>
      <x:c r="M59" s="18" t="s">
        <x:v>227</x:v>
      </x:c>
      <x:c r="N59" s="18" t="s">
        <x:v>395</x:v>
      </x:c>
      <x:c r="O59" s="1"/>
      <x:c r="P59" s="1"/>
    </x:row>
    <x:row r="60" ht="15" customHeight="1">
      <x:c r="A60" s="16" t="s">
        <x:v>543</x:v>
      </x:c>
      <x:c r="B60" s="16" t="s">
        <x:v>200</x:v>
      </x:c>
      <x:c r="C60" s="16" t="s">
        <x:v>544</x:v>
      </x:c>
      <x:c r="D60" s="16" t="s">
        <x:v>231</x:v>
      </x:c>
      <x:c r="E60" s="20">
        <x:v>-0.6</x:v>
      </x:c>
      <x:c r="F60" s="20" t="s">
        <x:v>354</x:v>
      </x:c>
      <x:c r="G60" s="20" t="s">
        <x:v>355</x:v>
      </x:c>
      <x:c r="H60" s="20">
        <x:v>1.2</x:v>
      </x:c>
      <x:c r="I60" s="20">
        <x:v>1.5</x:v>
      </x:c>
      <x:c r="J60" s="17">
        <x:v>1</x:v>
      </x:c>
      <x:c r="K60" s="17" t="s">
        <x:v>235</x:v>
      </x:c>
      <x:c r="L60" s="16" t="s">
        <x:v>236</x:v>
      </x:c>
      <x:c r="M60" s="16" t="s">
        <x:v>227</x:v>
      </x:c>
      <x:c r="N60" s="16" t="s">
        <x:v>356</x:v>
      </x:c>
      <x:c r="O60" s="1"/>
      <x:c r="P60" s="1"/>
    </x:row>
    <x:row r="61" ht="15" customHeight="1">
      <x:c r="A61" s="18" t="s">
        <x:v>545</x:v>
      </x:c>
      <x:c r="B61" s="18" t="s">
        <x:v>200</x:v>
      </x:c>
      <x:c r="C61" s="18" t="s">
        <x:v>546</x:v>
      </x:c>
      <x:c r="D61" s="18" t="s">
        <x:v>255</x:v>
      </x:c>
      <x:c r="E61" s="21">
        <x:v>-4.2</x:v>
      </x:c>
      <x:c r="F61" s="21" t="s">
        <x:v>517</x:v>
      </x:c>
      <x:c r="G61" s="21" t="s">
        <x:v>324</x:v>
      </x:c>
      <x:c r="H61" s="21">
        <x:v>33.33</x:v>
      </x:c>
      <x:c r="I61" s="21">
        <x:v>0.17100000000000001</x:v>
      </x:c>
      <x:c r="J61" s="19">
        <x:v>4.4999999999999998E-2</x:v>
      </x:c>
      <x:c r="K61" s="19" t="s">
        <x:v>246</x:v>
      </x:c>
      <x:c r="L61" s="18" t="s">
        <x:v>325</x:v>
      </x:c>
      <x:c r="M61" s="18" t="s">
        <x:v>248</x:v>
      </x:c>
      <x:c r="N61" s="18" t="s">
        <x:v>341</x:v>
      </x:c>
      <x:c r="O61" s="1"/>
      <x:c r="P61" s="1"/>
    </x:row>
    <x:row r="62" ht="15" customHeight="1">
      <x:c r="A62" s="16" t="s">
        <x:v>547</x:v>
      </x:c>
      <x:c r="B62" s="16" t="s">
        <x:v>203</x:v>
      </x:c>
      <x:c r="C62" s="16" t="s">
        <x:v>304</x:v>
      </x:c>
      <x:c r="D62" s="16" t="s">
        <x:v>221</x:v>
      </x:c>
      <x:c r="E62" s="20">
        <x:v>-0.9</x:v>
      </x:c>
      <x:c r="F62" s="20" t="s">
        <x:v>223</x:v>
      </x:c>
      <x:c r="G62" s="20" t="s">
        <x:v>347</x:v>
      </x:c>
      <x:c r="H62" s="20">
        <x:v>2.57</x:v>
      </x:c>
      <x:c r="I62" s="20">
        <x:v>0.6</x:v>
      </x:c>
      <x:c r="J62" s="17">
        <x:v>0.25</x:v>
      </x:c>
      <x:c r="K62" s="17" t="s">
        <x:v>225</x:v>
      </x:c>
      <x:c r="L62" s="16" t="s">
        <x:v>226</x:v>
      </x:c>
      <x:c r="M62" s="16" t="s">
        <x:v>227</x:v>
      </x:c>
      <x:c r="N62" s="16" t="s">
        <x:v>348</x:v>
      </x:c>
      <x:c r="O62" s="1"/>
      <x:c r="P62" s="1"/>
    </x:row>
    <x:row r="63" ht="15" customHeight="1">
      <x:c r="A63" s="18" t="s">
        <x:v>549</x:v>
      </x:c>
      <x:c r="B63" s="18" t="s">
        <x:v>203</x:v>
      </x:c>
      <x:c r="C63" s="18" t="s">
        <x:v>550</x:v>
      </x:c>
      <x:c r="D63" s="18" t="s">
        <x:v>255</x:v>
      </x:c>
      <x:c r="E63" s="21">
        <x:v>-4.2</x:v>
      </x:c>
      <x:c r="F63" s="21" t="s">
        <x:v>517</x:v>
      </x:c>
      <x:c r="G63" s="21" t="s">
        <x:v>324</x:v>
      </x:c>
      <x:c r="H63" s="21">
        <x:v>33.33</x:v>
      </x:c>
      <x:c r="I63" s="21">
        <x:v>0.17100000000000001</x:v>
      </x:c>
      <x:c r="J63" s="19">
        <x:v>4.4999999999999998E-2</x:v>
      </x:c>
      <x:c r="K63" s="19" t="s">
        <x:v>246</x:v>
      </x:c>
      <x:c r="L63" s="18" t="s">
        <x:v>325</x:v>
      </x:c>
      <x:c r="M63" s="18" t="s">
        <x:v>248</x:v>
      </x:c>
      <x:c r="N63" s="18" t="s">
        <x:v>341</x:v>
      </x:c>
      <x:c r="O63" s="1"/>
      <x:c r="P63" s="1"/>
    </x:row>
    <x:row r="64" ht="15" customHeight="1">
      <x:c r="A64" s="16" t="s">
        <x:v>551</x:v>
      </x:c>
      <x:c r="B64" s="16" t="s">
        <x:v>203</x:v>
      </x:c>
      <x:c r="C64" s="16" t="s">
        <x:v>552</x:v>
      </x:c>
      <x:c r="D64" s="16" t="s">
        <x:v>221</x:v>
      </x:c>
      <x:c r="E64" s="20">
        <x:v>-1.1000000000000001</x:v>
      </x:c>
      <x:c r="F64" s="20" t="s">
        <x:v>367</x:v>
      </x:c>
      <x:c r="G64" s="20" t="s">
        <x:v>368</x:v>
      </x:c>
      <x:c r="H64" s="20">
        <x:v>6.43</x:v>
      </x:c>
      <x:c r="I64" s="20">
        <x:v>0.17100000000000001</x:v>
      </x:c>
      <x:c r="J64" s="17">
        <x:v>0</x:v>
      </x:c>
      <x:c r="K64" s="17" t="s">
        <x:v>246</x:v>
      </x:c>
      <x:c r="L64" s="16" t="s">
        <x:v>247</x:v>
      </x:c>
      <x:c r="M64" s="16" t="s">
        <x:v>248</x:v>
      </x:c>
      <x:c r="N64" s="16" t="s">
        <x:v>369</x:v>
      </x:c>
      <x:c r="O64" s="1"/>
      <x:c r="P64" s="1"/>
    </x:row>
    <x:row r="65" ht="15" customHeight="1">
      <x:c r="A65" s="18" t="s">
        <x:v>553</x:v>
      </x:c>
      <x:c r="B65" s="18" t="s">
        <x:v>203</x:v>
      </x:c>
      <x:c r="C65" s="18" t="s">
        <x:v>554</x:v>
      </x:c>
      <x:c r="D65" s="18" t="s">
        <x:v>393</x:v>
      </x:c>
      <x:c r="E65" s="21">
        <x:v>-2.7</x:v>
      </x:c>
      <x:c r="F65" s="21" t="s">
        <x:v>265</x:v>
      </x:c>
      <x:c r="G65" s="21" t="s">
        <x:v>266</x:v>
      </x:c>
      <x:c r="H65" s="21">
        <x:v>1.8</x:v>
      </x:c>
      <x:c r="I65" s="21">
        <x:v>8</x:v>
      </x:c>
      <x:c r="J65" s="19">
        <x:v>6.5</x:v>
      </x:c>
      <x:c r="K65" s="19" t="s">
        <x:v>267</x:v>
      </x:c>
      <x:c r="L65" s="18" t="s">
        <x:v>268</x:v>
      </x:c>
      <x:c r="M65" s="18" t="s">
        <x:v>227</x:v>
      </x:c>
      <x:c r="N65" s="18" t="s">
        <x:v>395</x:v>
      </x:c>
      <x:c r="O65" s="1"/>
      <x:c r="P65" s="1"/>
    </x:row>
    <x:row r="66" ht="15" customHeight="1">
      <x:c r="A66" s="16" t="s">
        <x:v>555</x:v>
      </x:c>
      <x:c r="B66" s="16" t="s">
        <x:v>203</x:v>
      </x:c>
      <x:c r="C66" s="16" t="s">
        <x:v>556</x:v>
      </x:c>
      <x:c r="D66" s="16" t="s">
        <x:v>365</x:v>
      </x:c>
      <x:c r="E66" s="20">
        <x:v>-2.2000000000000002</x:v>
      </x:c>
      <x:c r="F66" s="20" t="s">
        <x:v>223</x:v>
      </x:c>
      <x:c r="G66" s="20" t="s">
        <x:v>347</x:v>
      </x:c>
      <x:c r="H66" s="20">
        <x:v>6.29</x:v>
      </x:c>
      <x:c r="I66" s="20">
        <x:v>0.6</x:v>
      </x:c>
      <x:c r="J66" s="17">
        <x:v>0.25</x:v>
      </x:c>
      <x:c r="K66" s="17" t="s">
        <x:v>225</x:v>
      </x:c>
      <x:c r="L66" s="16" t="s">
        <x:v>226</x:v>
      </x:c>
      <x:c r="M66" s="16" t="s">
        <x:v>227</x:v>
      </x:c>
      <x:c r="N66" s="16" t="s">
        <x:v>348</x:v>
      </x:c>
      <x:c r="O66" s="1"/>
      <x:c r="P66" s="1"/>
    </x:row>
    <x:row r="67" ht="15" customHeight="1">
      <x:c r="A67" s="18" t="s">
        <x:v>559</x:v>
      </x:c>
      <x:c r="B67" s="18" t="s">
        <x:v>203</x:v>
      </x:c>
      <x:c r="C67" s="18" t="s">
        <x:v>560</x:v>
      </x:c>
      <x:c r="D67" s="18" t="s">
        <x:v>231</x:v>
      </x:c>
      <x:c r="E67" s="21">
        <x:v>-0.8</x:v>
      </x:c>
      <x:c r="F67" s="21" t="s">
        <x:v>354</x:v>
      </x:c>
      <x:c r="G67" s="21" t="s">
        <x:v>355</x:v>
      </x:c>
      <x:c r="H67" s="21">
        <x:v>1.6</x:v>
      </x:c>
      <x:c r="I67" s="21">
        <x:v>1.5</x:v>
      </x:c>
      <x:c r="J67" s="19">
        <x:v>1</x:v>
      </x:c>
      <x:c r="K67" s="19" t="s">
        <x:v>235</x:v>
      </x:c>
      <x:c r="L67" s="18" t="s">
        <x:v>236</x:v>
      </x:c>
      <x:c r="M67" s="18" t="s">
        <x:v>227</x:v>
      </x:c>
      <x:c r="N67" s="18" t="s">
        <x:v>356</x:v>
      </x:c>
      <x:c r="O67" s="1"/>
      <x:c r="P67" s="1"/>
    </x:row>
    <x:row r="68" ht="15" customHeight="1">
      <x:c r="A68" s="16" t="s">
        <x:v>561</x:v>
      </x:c>
      <x:c r="B68" s="16" t="s">
        <x:v>203</x:v>
      </x:c>
      <x:c r="C68" s="16" t="s">
        <x:v>562</x:v>
      </x:c>
      <x:c r="D68" s="16" t="s">
        <x:v>231</x:v>
      </x:c>
      <x:c r="E68" s="20">
        <x:v>-1.6</x:v>
      </x:c>
      <x:c r="F68" s="20" t="s">
        <x:v>354</x:v>
      </x:c>
      <x:c r="G68" s="20" t="s">
        <x:v>355</x:v>
      </x:c>
      <x:c r="H68" s="20">
        <x:v>3.2</x:v>
      </x:c>
      <x:c r="I68" s="20">
        <x:v>1.5</x:v>
      </x:c>
      <x:c r="J68" s="17">
        <x:v>1</x:v>
      </x:c>
      <x:c r="K68" s="17" t="s">
        <x:v>235</x:v>
      </x:c>
      <x:c r="L68" s="16" t="s">
        <x:v>236</x:v>
      </x:c>
      <x:c r="M68" s="16" t="s">
        <x:v>227</x:v>
      </x:c>
      <x:c r="N68" s="16" t="s">
        <x:v>356</x:v>
      </x:c>
      <x:c r="O68" s="1"/>
      <x:c r="P68" s="1"/>
    </x:row>
    <x:row r="69">
      <x:c r="A69" s="1"/>
      <x:c r="B69" s="1"/>
      <x:c r="C69" s="1"/>
      <x:c r="D69" s="1"/>
      <x:c r="E69" s="1"/>
      <x:c r="F69" s="1"/>
      <x:c r="G69" s="1"/>
      <x:c r="H69" s="1"/>
      <x:c r="I69" s="1"/>
      <x:c r="J69" s="1"/>
      <x:c r="K69" s="1"/>
      <x:c r="L69" s="1"/>
      <x:c r="M69" s="1"/>
      <x:c r="N69" s="1"/>
      <x:c r="O69" s="1"/>
      <x:c r="P69" s="1"/>
    </x:row>
    <x:row r="70">
      <x:c r="A70" s="1"/>
      <x:c r="B70" s="1"/>
      <x:c r="C70" s="1"/>
      <x:c r="D70" s="1"/>
      <x:c r="E70" s="1"/>
      <x:c r="F70" s="1"/>
      <x:c r="G70" s="1"/>
      <x:c r="H70" s="1"/>
      <x:c r="I70" s="1"/>
      <x:c r="J70" s="1"/>
      <x:c r="K70" s="1"/>
      <x:c r="L70" s="1"/>
      <x:c r="M70" s="1"/>
      <x:c r="N70" s="1"/>
      <x:c r="O70" s="1"/>
      <x:c r="P70" s="1"/>
    </x:row>
    <x:row r="71">
      <x:c r="A71" s="1"/>
      <x:c r="B71" s="1"/>
      <x:c r="C71" s="1"/>
      <x:c r="D71" s="1"/>
      <x:c r="E71" s="1"/>
      <x:c r="F71" s="1"/>
      <x:c r="G71" s="1"/>
      <x:c r="H71" s="1"/>
      <x:c r="I71" s="1"/>
      <x:c r="J71" s="1"/>
      <x:c r="K71" s="1"/>
      <x:c r="L71" s="1"/>
      <x:c r="M71" s="1"/>
      <x:c r="N71" s="1"/>
      <x:c r="O71" s="1"/>
      <x:c r="P71" s="1"/>
    </x:row>
    <x:row r="72">
      <x:c r="A72" s="1"/>
      <x:c r="B72" s="1"/>
      <x:c r="C72" s="1"/>
      <x:c r="D72" s="1"/>
      <x:c r="E72" s="1"/>
      <x:c r="F72" s="1"/>
      <x:c r="G72" s="1"/>
      <x:c r="H72" s="1"/>
      <x:c r="I72" s="1"/>
      <x:c r="J72" s="1"/>
      <x:c r="K72" s="1"/>
      <x:c r="L72" s="1"/>
      <x:c r="M72" s="1"/>
      <x:c r="N72" s="1"/>
      <x:c r="O72" s="1"/>
      <x:c r="P72" s="1"/>
    </x:row>
    <x:row r="73">
      <x:c r="A73" s="1"/>
      <x:c r="B73" s="1"/>
      <x:c r="C73" s="1"/>
      <x:c r="D73" s="1"/>
      <x:c r="E73" s="1"/>
      <x:c r="F73" s="1"/>
      <x:c r="G73" s="1"/>
      <x:c r="H73" s="1"/>
      <x:c r="I73" s="1"/>
      <x:c r="J73" s="1"/>
      <x:c r="K73" s="1"/>
      <x:c r="L73" s="1"/>
      <x:c r="M73" s="1"/>
      <x:c r="N73" s="1"/>
      <x:c r="O73" s="1"/>
      <x:c r="P73" s="1"/>
    </x:row>
    <x:row r="74">
      <x:c r="A74" s="1"/>
      <x:c r="B74" s="1"/>
      <x:c r="C74" s="1"/>
      <x:c r="D74" s="1"/>
      <x:c r="E74" s="1"/>
      <x:c r="F74" s="1"/>
      <x:c r="G74" s="1"/>
      <x:c r="H74" s="1"/>
      <x:c r="I74" s="1"/>
      <x:c r="J74" s="1"/>
      <x:c r="K74" s="1"/>
      <x:c r="L74" s="1"/>
      <x:c r="M74" s="1"/>
      <x:c r="N74" s="1"/>
      <x:c r="O74" s="1"/>
      <x:c r="P74" s="1"/>
    </x:row>
    <x:row r="75">
      <x:c r="A75" s="1"/>
      <x:c r="B75" s="1"/>
      <x:c r="C75" s="1"/>
      <x:c r="D75" s="1"/>
      <x:c r="E75" s="1"/>
      <x:c r="F75" s="1"/>
      <x:c r="G75" s="1"/>
      <x:c r="H75" s="1"/>
      <x:c r="I75" s="1"/>
      <x:c r="J75" s="1"/>
      <x:c r="K75" s="1"/>
      <x:c r="L75" s="1"/>
      <x:c r="M75" s="1"/>
      <x:c r="N75" s="1"/>
      <x:c r="O75" s="1"/>
      <x:c r="P75" s="1"/>
    </x:row>
    <x:row r="76">
      <x:c r="A76" s="1"/>
      <x:c r="B76" s="1"/>
      <x:c r="C76" s="1"/>
      <x:c r="D76" s="1"/>
      <x:c r="E76" s="1"/>
      <x:c r="F76" s="1"/>
      <x:c r="G76" s="1"/>
      <x:c r="H76" s="1"/>
      <x:c r="I76" s="1"/>
      <x:c r="J76" s="1"/>
      <x:c r="K76" s="1"/>
      <x:c r="L76" s="1"/>
      <x:c r="M76" s="1"/>
      <x:c r="N76" s="1"/>
      <x:c r="O76" s="1"/>
      <x:c r="P76" s="1"/>
    </x:row>
    <x:row r="77">
      <x:c r="A77" s="1"/>
      <x:c r="B77" s="1"/>
      <x:c r="C77" s="1"/>
      <x:c r="D77" s="1"/>
      <x:c r="E77" s="1"/>
      <x:c r="F77" s="1"/>
      <x:c r="G77" s="1"/>
      <x:c r="H77" s="1"/>
      <x:c r="I77" s="1"/>
      <x:c r="J77" s="1"/>
      <x:c r="K77" s="1"/>
      <x:c r="L77" s="1"/>
      <x:c r="M77" s="1"/>
      <x:c r="N77" s="1"/>
      <x:c r="O77" s="1"/>
      <x:c r="P77" s="1"/>
    </x:row>
    <x:row r="78">
      <x:c r="A78" s="1"/>
      <x:c r="B78" s="1"/>
      <x:c r="C78" s="1"/>
      <x:c r="D78" s="1"/>
      <x:c r="E78" s="1"/>
      <x:c r="F78" s="1"/>
      <x:c r="G78" s="1"/>
      <x:c r="H78" s="1"/>
      <x:c r="I78" s="1"/>
      <x:c r="J78" s="1"/>
      <x:c r="K78" s="1"/>
      <x:c r="L78" s="1"/>
      <x:c r="M78" s="1"/>
      <x:c r="N78" s="1"/>
      <x:c r="O78" s="1"/>
      <x:c r="P78" s="1"/>
    </x:row>
    <x:row r="79">
      <x:c r="A79" s="1"/>
      <x:c r="B79" s="1"/>
      <x:c r="C79" s="1"/>
      <x:c r="D79" s="1"/>
      <x:c r="E79" s="1"/>
      <x:c r="F79" s="1"/>
      <x:c r="G79" s="1"/>
      <x:c r="H79" s="1"/>
      <x:c r="I79" s="1"/>
      <x:c r="J79" s="1"/>
      <x:c r="K79" s="1"/>
      <x:c r="L79" s="1"/>
      <x:c r="M79" s="1"/>
      <x:c r="N79" s="1"/>
      <x:c r="O79" s="1"/>
      <x:c r="P79" s="1"/>
    </x:row>
    <x:row r="80">
      <x:c r="A80" s="1"/>
      <x:c r="B80" s="1"/>
      <x:c r="C80" s="1"/>
      <x:c r="D80" s="1"/>
      <x:c r="E80" s="1"/>
      <x:c r="F80" s="1"/>
      <x:c r="G80" s="1"/>
      <x:c r="H80" s="1"/>
      <x:c r="I80" s="1"/>
      <x:c r="J80" s="1"/>
      <x:c r="K80" s="1"/>
      <x:c r="L80" s="1"/>
      <x:c r="M80" s="1"/>
      <x:c r="N80" s="1"/>
      <x:c r="O80" s="1"/>
      <x:c r="P80" s="1"/>
    </x:row>
    <x:row r="81">
      <x:c r="A81" s="1"/>
      <x:c r="B81" s="1"/>
      <x:c r="C81" s="1"/>
      <x:c r="D81" s="1"/>
      <x:c r="E81" s="1"/>
      <x:c r="F81" s="1"/>
      <x:c r="G81" s="1"/>
      <x:c r="H81" s="1"/>
      <x:c r="I81" s="1"/>
      <x:c r="J81" s="1"/>
      <x:c r="K81" s="1"/>
      <x:c r="L81" s="1"/>
      <x:c r="M81" s="1"/>
      <x:c r="N81" s="1"/>
      <x:c r="O81" s="1"/>
      <x:c r="P81" s="1"/>
    </x:row>
    <x:row r="82">
      <x:c r="A82" s="1"/>
      <x:c r="B82" s="1"/>
      <x:c r="C82" s="1"/>
      <x:c r="D82" s="1"/>
      <x:c r="E82" s="1"/>
      <x:c r="F82" s="1"/>
      <x:c r="G82" s="1"/>
      <x:c r="H82" s="1"/>
      <x:c r="I82" s="1"/>
      <x:c r="J82" s="1"/>
      <x:c r="K82" s="1"/>
      <x:c r="L82" s="1"/>
      <x:c r="M82" s="1"/>
      <x:c r="N82" s="1"/>
      <x:c r="O82" s="1"/>
      <x:c r="P82" s="1"/>
    </x:row>
    <x:row r="83">
      <x:c r="A83" s="1"/>
      <x:c r="B83" s="1"/>
      <x:c r="C83" s="1"/>
      <x:c r="D83" s="1"/>
      <x:c r="E83" s="1"/>
      <x:c r="F83" s="1"/>
      <x:c r="G83" s="1"/>
      <x:c r="H83" s="1"/>
      <x:c r="I83" s="1"/>
      <x:c r="J83" s="1"/>
      <x:c r="K83" s="1"/>
      <x:c r="L83" s="1"/>
      <x:c r="M83" s="1"/>
      <x:c r="N83" s="1"/>
      <x:c r="O83" s="1"/>
      <x:c r="P83" s="1"/>
    </x:row>
    <x:row r="84">
      <x:c r="A84" s="1"/>
      <x:c r="B84" s="1"/>
      <x:c r="C84" s="1"/>
      <x:c r="D84" s="1"/>
      <x:c r="E84" s="1"/>
      <x:c r="F84" s="1"/>
      <x:c r="G84" s="1"/>
      <x:c r="H84" s="1"/>
      <x:c r="I84" s="1"/>
      <x:c r="J84" s="1"/>
      <x:c r="K84" s="1"/>
      <x:c r="L84" s="1"/>
      <x:c r="M84" s="1"/>
      <x:c r="N84" s="1"/>
      <x:c r="O84" s="1"/>
      <x:c r="P84" s="1"/>
    </x:row>
    <x:row r="85">
      <x:c r="A85" s="1"/>
      <x:c r="B85" s="1"/>
      <x:c r="C85" s="1"/>
      <x:c r="D85" s="1"/>
      <x:c r="E85" s="1"/>
      <x:c r="F85" s="1"/>
      <x:c r="G85" s="1"/>
      <x:c r="H85" s="1"/>
      <x:c r="I85" s="1"/>
      <x:c r="J85" s="1"/>
      <x:c r="K85" s="1"/>
      <x:c r="L85" s="1"/>
      <x:c r="M85" s="1"/>
      <x:c r="N85" s="1"/>
      <x:c r="O85" s="1"/>
      <x:c r="P85" s="1"/>
    </x:row>
    <x:row r="86">
      <x:c r="A86" s="1"/>
      <x:c r="B86" s="1"/>
      <x:c r="C86" s="1"/>
      <x:c r="D86" s="1"/>
      <x:c r="E86" s="1"/>
      <x:c r="F86" s="1"/>
      <x:c r="G86" s="1"/>
      <x:c r="H86" s="1"/>
      <x:c r="I86" s="1"/>
      <x:c r="J86" s="1"/>
      <x:c r="K86" s="1"/>
      <x:c r="L86" s="1"/>
      <x:c r="M86" s="1"/>
      <x:c r="N86" s="1"/>
      <x:c r="O86" s="1"/>
      <x:c r="P86" s="1"/>
    </x:row>
    <x:row r="87">
      <x:c r="A87" s="1"/>
      <x:c r="B87" s="1"/>
      <x:c r="C87" s="1"/>
      <x:c r="D87" s="1"/>
      <x:c r="E87" s="1"/>
      <x:c r="F87" s="1"/>
      <x:c r="G87" s="1"/>
      <x:c r="H87" s="1"/>
      <x:c r="I87" s="1"/>
      <x:c r="J87" s="1"/>
      <x:c r="K87" s="1"/>
      <x:c r="L87" s="1"/>
      <x:c r="M87" s="1"/>
      <x:c r="N87" s="1"/>
      <x:c r="O87" s="1"/>
      <x:c r="P87" s="1"/>
    </x:row>
    <x:row r="88">
      <x:c r="A88" s="1"/>
      <x:c r="B88" s="1"/>
      <x:c r="C88" s="1"/>
      <x:c r="D88" s="1"/>
      <x:c r="E88" s="1"/>
      <x:c r="F88" s="1"/>
      <x:c r="G88" s="1"/>
      <x:c r="H88" s="1"/>
      <x:c r="I88" s="1"/>
      <x:c r="J88" s="1"/>
      <x:c r="K88" s="1"/>
      <x:c r="L88" s="1"/>
      <x:c r="M88" s="1"/>
      <x:c r="N88" s="1"/>
      <x:c r="O88" s="1"/>
      <x:c r="P88" s="1"/>
    </x:row>
    <x:row r="89">
      <x:c r="A89" s="1"/>
      <x:c r="B89" s="1"/>
      <x:c r="C89" s="1"/>
      <x:c r="D89" s="1"/>
      <x:c r="E89" s="1"/>
      <x:c r="F89" s="1"/>
      <x:c r="G89" s="1"/>
      <x:c r="H89" s="1"/>
      <x:c r="I89" s="1"/>
      <x:c r="J89" s="1"/>
      <x:c r="K89" s="1"/>
      <x:c r="L89" s="1"/>
      <x:c r="M89" s="1"/>
      <x:c r="N89" s="1"/>
      <x:c r="O89" s="1"/>
      <x:c r="P89" s="1"/>
    </x:row>
    <x:row r="90">
      <x:c r="A90" s="1"/>
      <x:c r="B90" s="1"/>
      <x:c r="C90" s="1"/>
      <x:c r="D90" s="1"/>
      <x:c r="E90" s="1"/>
      <x:c r="F90" s="1"/>
      <x:c r="G90" s="1"/>
      <x:c r="H90" s="1"/>
      <x:c r="I90" s="1"/>
      <x:c r="J90" s="1"/>
      <x:c r="K90" s="1"/>
      <x:c r="L90" s="1"/>
      <x:c r="M90" s="1"/>
      <x:c r="N90" s="1"/>
      <x:c r="O90" s="1"/>
      <x:c r="P90" s="1"/>
    </x:row>
    <x:row r="91">
      <x:c r="A91" s="1"/>
      <x:c r="B91" s="1"/>
      <x:c r="C91" s="1"/>
      <x:c r="D91" s="1"/>
      <x:c r="E91" s="1"/>
      <x:c r="F91" s="1"/>
      <x:c r="G91" s="1"/>
      <x:c r="H91" s="1"/>
      <x:c r="I91" s="1"/>
      <x:c r="J91" s="1"/>
      <x:c r="K91" s="1"/>
      <x:c r="L91" s="1"/>
      <x:c r="M91" s="1"/>
      <x:c r="N91" s="1"/>
      <x:c r="O91" s="1"/>
      <x:c r="P91" s="1"/>
    </x:row>
    <x:row r="92">
      <x:c r="A92" s="1"/>
      <x:c r="B92" s="1"/>
      <x:c r="C92" s="1"/>
      <x:c r="D92" s="1"/>
      <x:c r="E92" s="1"/>
      <x:c r="F92" s="1"/>
      <x:c r="G92" s="1"/>
      <x:c r="H92" s="1"/>
      <x:c r="I92" s="1"/>
      <x:c r="J92" s="1"/>
      <x:c r="K92" s="1"/>
      <x:c r="L92" s="1"/>
      <x:c r="M92" s="1"/>
      <x:c r="N92" s="1"/>
      <x:c r="O92" s="1"/>
      <x:c r="P92" s="1"/>
    </x:row>
    <x:row r="93">
      <x:c r="A93" s="1"/>
      <x:c r="B93" s="1"/>
      <x:c r="C93" s="1"/>
      <x:c r="D93" s="1"/>
      <x:c r="E93" s="1"/>
      <x:c r="F93" s="1"/>
      <x:c r="G93" s="1"/>
      <x:c r="H93" s="1"/>
      <x:c r="I93" s="1"/>
      <x:c r="J93" s="1"/>
      <x:c r="K93" s="1"/>
      <x:c r="L93" s="1"/>
      <x:c r="M93" s="1"/>
      <x:c r="N93" s="1"/>
      <x:c r="O93" s="1"/>
      <x:c r="P93" s="1"/>
    </x:row>
    <x:row r="94">
      <x:c r="A94" s="1"/>
      <x:c r="B94" s="1"/>
      <x:c r="C94" s="1"/>
      <x:c r="D94" s="1"/>
      <x:c r="E94" s="1"/>
      <x:c r="F94" s="1"/>
      <x:c r="G94" s="1"/>
      <x:c r="H94" s="1"/>
      <x:c r="I94" s="1"/>
      <x:c r="J94" s="1"/>
      <x:c r="K94" s="1"/>
      <x:c r="L94" s="1"/>
      <x:c r="M94" s="1"/>
      <x:c r="N94" s="1"/>
      <x:c r="O94" s="1"/>
      <x:c r="P94" s="1"/>
    </x:row>
    <x:row r="95">
      <x:c r="A95" s="1"/>
      <x:c r="B95" s="1"/>
      <x:c r="C95" s="1"/>
      <x:c r="D95" s="1"/>
      <x:c r="E95" s="1"/>
      <x:c r="F95" s="1"/>
      <x:c r="G95" s="1"/>
      <x:c r="H95" s="1"/>
      <x:c r="I95" s="1"/>
      <x:c r="J95" s="1"/>
      <x:c r="K95" s="1"/>
      <x:c r="L95" s="1"/>
      <x:c r="M95" s="1"/>
      <x:c r="N95" s="1"/>
      <x:c r="O95" s="1"/>
      <x:c r="P95" s="1"/>
    </x:row>
    <x:row r="96">
      <x:c r="A96" s="1"/>
      <x:c r="B96" s="1"/>
      <x:c r="C96" s="1"/>
      <x:c r="D96" s="1"/>
      <x:c r="E96" s="1"/>
      <x:c r="F96" s="1"/>
      <x:c r="G96" s="1"/>
      <x:c r="H96" s="1"/>
      <x:c r="I96" s="1"/>
      <x:c r="J96" s="1"/>
      <x:c r="K96" s="1"/>
      <x:c r="L96" s="1"/>
      <x:c r="M96" s="1"/>
      <x:c r="N96" s="1"/>
      <x:c r="O96" s="1"/>
      <x:c r="P96" s="1"/>
    </x:row>
    <x:row r="97">
      <x:c r="A97" s="1"/>
      <x:c r="B97" s="1"/>
      <x:c r="C97" s="1"/>
      <x:c r="D97" s="1"/>
      <x:c r="E97" s="1"/>
      <x:c r="F97" s="1"/>
      <x:c r="G97" s="1"/>
      <x:c r="H97" s="1"/>
      <x:c r="I97" s="1"/>
      <x:c r="J97" s="1"/>
      <x:c r="K97" s="1"/>
      <x:c r="L97" s="1"/>
      <x:c r="M97" s="1"/>
      <x:c r="N97" s="1"/>
      <x:c r="O97" s="1"/>
      <x:c r="P97" s="1"/>
    </x:row>
    <x:row r="98">
      <x:c r="A98" s="1"/>
      <x:c r="B98" s="1"/>
      <x:c r="C98" s="1"/>
      <x:c r="D98" s="1"/>
      <x:c r="E98" s="1"/>
      <x:c r="F98" s="1"/>
      <x:c r="G98" s="1"/>
      <x:c r="H98" s="1"/>
      <x:c r="I98" s="1"/>
      <x:c r="J98" s="1"/>
      <x:c r="K98" s="1"/>
      <x:c r="L98" s="1"/>
      <x:c r="M98" s="1"/>
      <x:c r="N98" s="1"/>
      <x:c r="O98" s="1"/>
      <x:c r="P98" s="1"/>
    </x:row>
    <x:row r="99">
      <x:c r="A99" s="1"/>
      <x:c r="B99" s="1"/>
      <x:c r="C99" s="1"/>
      <x:c r="D99" s="1"/>
      <x:c r="E99" s="1"/>
      <x:c r="F99" s="1"/>
      <x:c r="G99" s="1"/>
      <x:c r="H99" s="1"/>
      <x:c r="I99" s="1"/>
      <x:c r="J99" s="1"/>
      <x:c r="K99" s="1"/>
      <x:c r="L99" s="1"/>
      <x:c r="M99" s="1"/>
      <x:c r="N99" s="1"/>
      <x:c r="O99" s="1"/>
      <x:c r="P99" s="1"/>
    </x:row>
    <x:row r="100">
      <x:c r="A100" s="1"/>
      <x:c r="B100" s="1"/>
      <x:c r="C100" s="1"/>
      <x:c r="D100" s="1"/>
      <x:c r="E100" s="1"/>
      <x:c r="F100" s="1"/>
      <x:c r="G100" s="1"/>
      <x:c r="H100" s="1"/>
      <x:c r="I100" s="1"/>
      <x:c r="J100" s="1"/>
      <x:c r="K100" s="1"/>
      <x:c r="L100" s="1"/>
      <x:c r="M100" s="1"/>
      <x:c r="N100" s="1"/>
      <x:c r="O100" s="1"/>
      <x:c r="P100" s="1"/>
    </x:row>
    <x:row r="101">
      <x:c r="A101" s="1"/>
      <x:c r="B101" s="1"/>
      <x:c r="C101" s="1"/>
      <x:c r="D101" s="1"/>
      <x:c r="E101" s="1"/>
      <x:c r="F101" s="1"/>
      <x:c r="G101" s="1"/>
      <x:c r="H101" s="1"/>
      <x:c r="I101" s="1"/>
      <x:c r="J101" s="1"/>
      <x:c r="K101" s="1"/>
      <x:c r="L101" s="1"/>
      <x:c r="M101" s="1"/>
      <x:c r="N101" s="1"/>
      <x:c r="O101" s="1"/>
      <x:c r="P101" s="1"/>
    </x:row>
    <x:row r="102">
      <x:c r="A102" s="1"/>
      <x:c r="B102" s="1"/>
      <x:c r="C102" s="1"/>
      <x:c r="D102" s="1"/>
      <x:c r="E102" s="1"/>
      <x:c r="F102" s="1"/>
      <x:c r="G102" s="1"/>
      <x:c r="H102" s="1"/>
      <x:c r="I102" s="1"/>
      <x:c r="J102" s="1"/>
      <x:c r="K102" s="1"/>
      <x:c r="L102" s="1"/>
      <x:c r="M102" s="1"/>
      <x:c r="N102" s="1"/>
      <x:c r="O102" s="1"/>
      <x:c r="P102" s="1"/>
    </x:row>
    <x:row r="103">
      <x:c r="A103" s="1"/>
      <x:c r="B103" s="1"/>
      <x:c r="C103" s="1"/>
      <x:c r="D103" s="1"/>
      <x:c r="E103" s="1"/>
      <x:c r="F103" s="1"/>
      <x:c r="G103" s="1"/>
      <x:c r="H103" s="1"/>
      <x:c r="I103" s="1"/>
      <x:c r="J103" s="1"/>
      <x:c r="K103" s="1"/>
      <x:c r="L103" s="1"/>
      <x:c r="M103" s="1"/>
      <x:c r="N103" s="1"/>
      <x:c r="O103" s="1"/>
      <x:c r="P103" s="1"/>
    </x:row>
    <x:row r="104">
      <x:c r="A104" s="1"/>
      <x:c r="B104" s="1"/>
      <x:c r="C104" s="1"/>
      <x:c r="D104" s="1"/>
      <x:c r="E104" s="1"/>
      <x:c r="F104" s="1"/>
      <x:c r="G104" s="1"/>
      <x:c r="H104" s="1"/>
      <x:c r="I104" s="1"/>
      <x:c r="J104" s="1"/>
      <x:c r="K104" s="1"/>
      <x:c r="L104" s="1"/>
      <x:c r="M104" s="1"/>
      <x:c r="N104" s="1"/>
      <x:c r="O104" s="1"/>
      <x:c r="P104" s="1"/>
    </x:row>
    <x:row r="105">
      <x:c r="A105" s="1"/>
      <x:c r="B105" s="1"/>
      <x:c r="C105" s="1"/>
      <x:c r="D105" s="1"/>
      <x:c r="E105" s="1"/>
      <x:c r="F105" s="1"/>
      <x:c r="G105" s="1"/>
      <x:c r="H105" s="1"/>
      <x:c r="I105" s="1"/>
      <x:c r="J105" s="1"/>
      <x:c r="K105" s="1"/>
      <x:c r="L105" s="1"/>
      <x:c r="M105" s="1"/>
      <x:c r="N105" s="1"/>
      <x:c r="O105" s="1"/>
      <x:c r="P105" s="1"/>
    </x:row>
    <x:row r="106">
      <x:c r="A106" s="1"/>
      <x:c r="B106" s="1"/>
      <x:c r="C106" s="1"/>
      <x:c r="D106" s="1"/>
      <x:c r="E106" s="1"/>
      <x:c r="F106" s="1"/>
      <x:c r="G106" s="1"/>
      <x:c r="H106" s="1"/>
      <x:c r="I106" s="1"/>
      <x:c r="J106" s="1"/>
      <x:c r="K106" s="1"/>
      <x:c r="L106" s="1"/>
      <x:c r="M106" s="1"/>
      <x:c r="N106" s="1"/>
      <x:c r="O106" s="1"/>
      <x:c r="P106" s="1"/>
    </x:row>
    <x:row r="107">
      <x:c r="A107" s="1"/>
      <x:c r="B107" s="1"/>
      <x:c r="C107" s="1"/>
      <x:c r="D107" s="1"/>
      <x:c r="E107" s="1"/>
      <x:c r="F107" s="1"/>
      <x:c r="G107" s="1"/>
      <x:c r="H107" s="1"/>
      <x:c r="I107" s="1"/>
      <x:c r="J107" s="1"/>
      <x:c r="K107" s="1"/>
      <x:c r="L107" s="1"/>
      <x:c r="M107" s="1"/>
      <x:c r="N107" s="1"/>
      <x:c r="O107" s="1"/>
      <x:c r="P107" s="1"/>
    </x:row>
    <x:row r="108">
      <x:c r="A108" s="1"/>
      <x:c r="B108" s="1"/>
      <x:c r="C108" s="1"/>
      <x:c r="D108" s="1"/>
      <x:c r="E108" s="1"/>
      <x:c r="F108" s="1"/>
      <x:c r="G108" s="1"/>
      <x:c r="H108" s="1"/>
      <x:c r="I108" s="1"/>
      <x:c r="J108" s="1"/>
      <x:c r="K108" s="1"/>
      <x:c r="L108" s="1"/>
      <x:c r="M108" s="1"/>
      <x:c r="N108" s="1"/>
      <x:c r="O108" s="1"/>
      <x:c r="P108" s="1"/>
    </x:row>
    <x:row r="109">
      <x:c r="A109" s="1"/>
      <x:c r="B109" s="1"/>
      <x:c r="C109" s="1"/>
      <x:c r="D109" s="1"/>
      <x:c r="E109" s="1"/>
      <x:c r="F109" s="1"/>
      <x:c r="G109" s="1"/>
      <x:c r="H109" s="1"/>
      <x:c r="I109" s="1"/>
      <x:c r="J109" s="1"/>
      <x:c r="K109" s="1"/>
      <x:c r="L109" s="1"/>
      <x:c r="M109" s="1"/>
      <x:c r="N109" s="1"/>
      <x:c r="O109" s="1"/>
      <x:c r="P109" s="1"/>
    </x:row>
    <x:row r="110">
      <x:c r="A110" s="1"/>
      <x:c r="B110" s="1"/>
      <x:c r="C110" s="1"/>
      <x:c r="D110" s="1"/>
      <x:c r="E110" s="1"/>
      <x:c r="F110" s="1"/>
      <x:c r="G110" s="1"/>
      <x:c r="H110" s="1"/>
      <x:c r="I110" s="1"/>
      <x:c r="J110" s="1"/>
      <x:c r="K110" s="1"/>
      <x:c r="L110" s="1"/>
      <x:c r="M110" s="1"/>
      <x:c r="N110" s="1"/>
      <x:c r="O110" s="1"/>
      <x:c r="P110" s="1"/>
    </x:row>
    <x:row r="111">
      <x:c r="A111" s="1"/>
      <x:c r="B111" s="1"/>
      <x:c r="C111" s="1"/>
      <x:c r="D111" s="1"/>
      <x:c r="E111" s="1"/>
      <x:c r="F111" s="1"/>
      <x:c r="G111" s="1"/>
      <x:c r="H111" s="1"/>
      <x:c r="I111" s="1"/>
      <x:c r="J111" s="1"/>
      <x:c r="K111" s="1"/>
      <x:c r="L111" s="1"/>
      <x:c r="M111" s="1"/>
      <x:c r="N111" s="1"/>
      <x:c r="O111" s="1"/>
      <x:c r="P111" s="1"/>
    </x:row>
    <x:row r="112">
      <x:c r="A112" s="1"/>
      <x:c r="B112" s="1"/>
      <x:c r="C112" s="1"/>
      <x:c r="D112" s="1"/>
      <x:c r="E112" s="1"/>
      <x:c r="F112" s="1"/>
      <x:c r="G112" s="1"/>
      <x:c r="H112" s="1"/>
      <x:c r="I112" s="1"/>
      <x:c r="J112" s="1"/>
      <x:c r="K112" s="1"/>
      <x:c r="L112" s="1"/>
      <x:c r="M112" s="1"/>
      <x:c r="N112" s="1"/>
      <x:c r="O112" s="1"/>
      <x:c r="P112" s="1"/>
    </x:row>
    <x:row r="113">
      <x:c r="A113" s="1"/>
      <x:c r="B113" s="1"/>
      <x:c r="C113" s="1"/>
      <x:c r="D113" s="1"/>
      <x:c r="E113" s="1"/>
      <x:c r="F113" s="1"/>
      <x:c r="G113" s="1"/>
      <x:c r="H113" s="1"/>
      <x:c r="I113" s="1"/>
      <x:c r="J113" s="1"/>
      <x:c r="K113" s="1"/>
      <x:c r="L113" s="1"/>
      <x:c r="M113" s="1"/>
      <x:c r="N113" s="1"/>
      <x:c r="O113" s="1"/>
      <x:c r="P113" s="1"/>
    </x:row>
    <x:row r="114">
      <x:c r="A114" s="1"/>
      <x:c r="B114" s="1"/>
      <x:c r="C114" s="1"/>
      <x:c r="D114" s="1"/>
      <x:c r="E114" s="1"/>
      <x:c r="F114" s="1"/>
      <x:c r="G114" s="1"/>
      <x:c r="H114" s="1"/>
      <x:c r="I114" s="1"/>
      <x:c r="J114" s="1"/>
      <x:c r="K114" s="1"/>
      <x:c r="L114" s="1"/>
      <x:c r="M114" s="1"/>
      <x:c r="N114" s="1"/>
      <x:c r="O114" s="1"/>
      <x:c r="P114" s="1"/>
    </x:row>
    <x:row r="115">
      <x:c r="A115" s="1"/>
      <x:c r="B115" s="1"/>
      <x:c r="C115" s="1"/>
      <x:c r="D115" s="1"/>
      <x:c r="E115" s="1"/>
      <x:c r="F115" s="1"/>
      <x:c r="G115" s="1"/>
      <x:c r="H115" s="1"/>
      <x:c r="I115" s="1"/>
      <x:c r="J115" s="1"/>
      <x:c r="K115" s="1"/>
      <x:c r="L115" s="1"/>
      <x:c r="M115" s="1"/>
      <x:c r="N115" s="1"/>
      <x:c r="O115" s="1"/>
      <x:c r="P115" s="1"/>
    </x:row>
    <x:row r="116">
      <x:c r="A116" s="1"/>
      <x:c r="B116" s="1"/>
      <x:c r="C116" s="1"/>
      <x:c r="D116" s="1"/>
      <x:c r="E116" s="1"/>
      <x:c r="F116" s="1"/>
      <x:c r="G116" s="1"/>
      <x:c r="H116" s="1"/>
      <x:c r="I116" s="1"/>
      <x:c r="J116" s="1"/>
      <x:c r="K116" s="1"/>
      <x:c r="L116" s="1"/>
      <x:c r="M116" s="1"/>
      <x:c r="N116" s="1"/>
      <x:c r="O116" s="1"/>
      <x:c r="P116" s="1"/>
    </x:row>
    <x:row r="117">
      <x:c r="A117" s="1"/>
      <x:c r="B117" s="1"/>
      <x:c r="C117" s="1"/>
      <x:c r="D117" s="1"/>
      <x:c r="E117" s="1"/>
      <x:c r="F117" s="1"/>
      <x:c r="G117" s="1"/>
      <x:c r="H117" s="1"/>
      <x:c r="I117" s="1"/>
      <x:c r="J117" s="1"/>
      <x:c r="K117" s="1"/>
      <x:c r="L117" s="1"/>
      <x:c r="M117" s="1"/>
      <x:c r="N117" s="1"/>
      <x:c r="O117" s="1"/>
      <x:c r="P117" s="1"/>
    </x:row>
    <x:row r="118">
      <x:c r="A118" s="1"/>
      <x:c r="B118" s="1"/>
      <x:c r="C118" s="1"/>
      <x:c r="D118" s="1"/>
      <x:c r="E118" s="1"/>
      <x:c r="F118" s="1"/>
      <x:c r="G118" s="1"/>
      <x:c r="H118" s="1"/>
      <x:c r="I118" s="1"/>
      <x:c r="J118" s="1"/>
      <x:c r="K118" s="1"/>
      <x:c r="L118" s="1"/>
      <x:c r="M118" s="1"/>
      <x:c r="N118" s="1"/>
      <x:c r="O118" s="1"/>
      <x:c r="P118" s="1"/>
    </x:row>
    <x:row r="119">
      <x:c r="A119" s="1"/>
      <x:c r="B119" s="1"/>
      <x:c r="C119" s="1"/>
      <x:c r="D119" s="1"/>
      <x:c r="E119" s="1"/>
      <x:c r="F119" s="1"/>
      <x:c r="G119" s="1"/>
      <x:c r="H119" s="1"/>
      <x:c r="I119" s="1"/>
      <x:c r="J119" s="1"/>
      <x:c r="K119" s="1"/>
      <x:c r="L119" s="1"/>
      <x:c r="M119" s="1"/>
      <x:c r="N119" s="1"/>
      <x:c r="O119" s="1"/>
      <x:c r="P119" s="1"/>
    </x:row>
    <x:row r="120">
      <x:c r="A120" s="1"/>
      <x:c r="B120" s="1"/>
      <x:c r="C120" s="1"/>
      <x:c r="D120" s="1"/>
      <x:c r="E120" s="1"/>
      <x:c r="F120" s="1"/>
      <x:c r="G120" s="1"/>
      <x:c r="H120" s="1"/>
      <x:c r="I120" s="1"/>
      <x:c r="J120" s="1"/>
      <x:c r="K120" s="1"/>
      <x:c r="L120" s="1"/>
      <x:c r="M120" s="1"/>
      <x:c r="N120" s="1"/>
      <x:c r="O120" s="1"/>
      <x:c r="P120" s="1"/>
    </x:row>
  </x:sheetData>
  <x:conditionalFormatting sqref="K2:K68">
    <x:cfRule type="cellIs" dxfId="0" priority="1" operator="lessThan">
      <x:formula>0</x:formula>
    </x:cfRule>
  </x:conditionalFormatting>
  <x:pageMargins left="0.7" right="0.7" top="0.75" bottom="0.75" header="0.3" footer="0.3"/>
  <x:tableParts count="1">
    <x:tablePart xmlns:r="http://schemas.openxmlformats.org/officeDocument/2006/relationships" r:id="R44f5643791e44eb3"/>
  </x:tableParts>
</x:worksheet>
</file>

<file path=xl/worksheets/sheet19.xml><?xml version="1.0" encoding="utf-8"?>
<x:worksheet xmlns:x="http://schemas.openxmlformats.org/spreadsheetml/2006/main">
  <x:sheetFormatPr defaultRowHeight="15"/>
  <x:cols>
    <x:col min="1" max="1" width="18" hidden="0" customWidth="1"/>
    <x:col min="2" max="2" width="9" hidden="0" customWidth="1"/>
    <x:col min="3" max="3" width="18" hidden="0" customWidth="1"/>
    <x:col min="4" max="4" width="36" hidden="0" customWidth="1"/>
    <x:col min="5" max="5" width="48" hidden="0" customWidth="1"/>
    <x:col min="6" max="6" width="18" hidden="0" customWidth="1"/>
    <x:col min="7" max="7" width="38" hidden="0" customWidth="1"/>
    <x:col min="8" max="8" width="38" hidden="0" customWidth="1"/>
    <x:col min="9" max="9" width="46" hidden="0" customWidth="1"/>
  </x:cols>
  <x:sheetData>
    <x:row r="1">
      <x:c r="A1" s="68" t="str">
        <x:v>sheet_name</x:v>
      </x:c>
      <x:c r="B1" s="68" t="str">
        <x:v>row_no</x:v>
      </x:c>
      <x:c r="C1" s="68" t="str">
        <x:v>record_id</x:v>
      </x:c>
      <x:c r="D1" s="68" t="str">
        <x:v>record_name</x:v>
      </x:c>
      <x:c r="E1" s="68" t="str">
        <x:v>image_url</x:v>
      </x:c>
      <x:c r="F1" s="68" t="str">
        <x:v>status</x:v>
      </x:c>
      <x:c r="G1" s="68" t="str">
        <x:v>issue_note</x:v>
      </x:c>
      <x:c r="H1" s="68" t="str">
        <x:v>recommendation</x:v>
      </x:c>
      <x:c r="I1" s="207" t="str">
        <x:v>original_image_url</x:v>
      </x:c>
    </x:row>
    <x:row r="2">
      <x:c r="A2" s="82" t="str">
        <x:v>Provider</x:v>
      </x:c>
      <x:c r="B2" s="82" t="n">
        <x:v>2</x:v>
      </x:c>
      <x:c r="C2" s="82" t="str">
        <x:v>PROV-PY01</x:v>
      </x:c>
      <x:c r="D2" s="82" t="str">
        <x:v>Phu Yen Eco Discovery</x:v>
      </x:c>
      <x:c r="E2" s="82" t="str">
        <x:v>/image/tours/phu-yen-bai-da-ven-bien-01.jpg</x:v>
      </x:c>
      <x:c r="F2" s="82" t="str">
        <x:v>LOCAL_ASSET</x:v>
      </x:c>
      <x:c r="G2" s="82" t="str">
        <x:v>Đã chuyển sang ảnh local và đổi tên file theo nội dung.</x:v>
      </x:c>
      <x:c r="H2" s="82" t="str">
        <x:v>Giữ đúng cấu trúc public/images/greensteps khi tích hợp vào dự án.</x:v>
      </x:c>
      <x:c r="I2" s="93" t="str">
        <x:v>https://i.pinimg.com/1200x/15/06/6d/15066d772a582f83814cf915f3a25932.jpg</x:v>
      </x:c>
    </x:row>
    <x:row r="3">
      <x:c r="A3" s="82" t="str">
        <x:v>Provider</x:v>
      </x:c>
      <x:c r="B3" s="82" t="n">
        <x:v>3</x:v>
      </x:c>
      <x:c r="C3" s="82" t="str">
        <x:v>PROV-DL01</x:v>
      </x:c>
      <x:c r="D3" s="82" t="str">
        <x:v>Dalat Pine Eco Travel</x:v>
      </x:c>
      <x:c r="E3" s="82" t="str">
        <x:v>/image/tours/da-lat-toan-canh-thanh-pho-01.jpg</x:v>
      </x:c>
      <x:c r="F3" s="82" t="str">
        <x:v>LOCAL_ASSET</x:v>
      </x:c>
      <x:c r="G3" s="82" t="str">
        <x:v>Đã chuyển sang ảnh local và đổi tên file theo nội dung.</x:v>
      </x:c>
      <x:c r="H3" s="82" t="str">
        <x:v>Giữ đúng cấu trúc public/images/greensteps khi tích hợp vào dự án.</x:v>
      </x:c>
      <x:c r="I3" s="93" t="str">
        <x:v>https://i.pinimg.com/1200x/1d/b9/8a/1db98a9ffaa2c93fcd7c4afc23820f9b.jpg</x:v>
      </x:c>
    </x:row>
    <x:row r="4">
      <x:c r="A4" s="82" t="str">
        <x:v>Provider</x:v>
      </x:c>
      <x:c r="B4" s="82" t="n">
        <x:v>4</x:v>
      </x:c>
      <x:c r="C4" s="82" t="str">
        <x:v>PROV-DNHA01</x:v>
      </x:c>
      <x:c r="D4" s="82" t="str">
        <x:v>Danang Hoi An Green Journeys</x:v>
      </x:c>
      <x:c r="E4" s="82" t="str">
        <x:v>/image/tours/da-nang-poster-du-lich-01.jpg</x:v>
      </x:c>
      <x:c r="F4" s="82" t="str">
        <x:v>LOCAL_ASSET</x:v>
      </x:c>
      <x:c r="G4" s="82" t="str">
        <x:v>Đã chuyển sang ảnh local và đổi tên file theo nội dung.</x:v>
      </x:c>
      <x:c r="H4" s="82" t="str">
        <x:v>Giữ đúng cấu trúc public/images/greensteps khi tích hợp vào dự án.</x:v>
      </x:c>
      <x:c r="I4" s="93" t="str">
        <x:v>https://i.pinimg.com/1200x/9d/b6/fa/9db6fa1bc52e1705bc0d6aa96555eb8a.jpg</x:v>
      </x:c>
    </x:row>
    <x:row r="5">
      <x:c r="A5" s="82" t="str">
        <x:v>Schedule</x:v>
      </x:c>
      <x:c r="B5" s="82" t="n">
        <x:v>2</x:v>
      </x:c>
      <x:c r="C5" s="82" t="str">
        <x:v>SCHPY001</x:v>
      </x:c>
      <x:c r="D5" s="82" t="str">
        <x:v>Phú Yên xanh: Gành Đá Đĩa - Đầm Ô Loan</x:v>
      </x:c>
      <x:c r="E5" s="82" t="str">
        <x:v>/image/tours/phu-yen-bai-da-ven-bien-01.jpg</x:v>
      </x:c>
      <x:c r="F5" s="82" t="str">
        <x:v>LOCAL_ASSET</x:v>
      </x:c>
      <x:c r="G5" s="82" t="str">
        <x:v>Đã chuyển sang ảnh local và đổi tên file theo nội dung.</x:v>
      </x:c>
      <x:c r="H5" s="82" t="str">
        <x:v>Giữ đúng cấu trúc public/images/greensteps khi tích hợp vào dự án.</x:v>
      </x:c>
      <x:c r="I5" s="93" t="str">
        <x:v>https://i.pinimg.com/736x/60/9c/ef/609cefb4e490debd1ea140b6e21be7bc.jpg</x:v>
      </x:c>
    </x:row>
    <x:row r="6">
      <x:c r="A6" s="82" t="str">
        <x:v>Schedule</x:v>
      </x:c>
      <x:c r="B6" s="82" t="n">
        <x:v>3</x:v>
      </x:c>
      <x:c r="C6" s="82" t="str">
        <x:v>SCHPY002</x:v>
      </x:c>
      <x:c r="D6" s="82" t="str">
        <x:v>Bình minh Mũi Điện - Bãi Môn - Vũng Rô</x:v>
      </x:c>
      <x:c r="E6" s="82" t="str">
        <x:v>/image/tours/phu-yen-mui-dien-bai-mon-01.jpg</x:v>
      </x:c>
      <x:c r="F6" s="82" t="str">
        <x:v>LOCAL_ASSET</x:v>
      </x:c>
      <x:c r="G6" s="82" t="str">
        <x:v>Đã chuyển sang ảnh local và đổi tên file theo nội dung.</x:v>
      </x:c>
      <x:c r="H6" s="82" t="str">
        <x:v>Giữ đúng cấu trúc public/images/greensteps khi tích hợp vào dự án.</x:v>
      </x:c>
      <x:c r="I6" s="93" t="str">
        <x:v>https://i.pinimg.com/736x/1e/18/72/1e1872a16860e1d8c33c060f422dbd0c.jpg</x:v>
      </x:c>
    </x:row>
    <x:row r="7">
      <x:c r="A7" s="82" t="str">
        <x:v>Schedule</x:v>
      </x:c>
      <x:c r="B7" s="82" t="n">
        <x:v>4</x:v>
      </x:c>
      <x:c r="C7" s="82" t="str">
        <x:v>SCHPY003</x:v>
      </x:c>
      <x:c r="D7" s="82" t="str">
        <x:v>Bãi Xép - Ghềnh Ông - Tháp Nhạn 1 ngày</x:v>
      </x:c>
      <x:c r="E7" s="82" t="str">
        <x:v>/image/tours/phu-yen-bai-xep-checkin-01.jpg</x:v>
      </x:c>
      <x:c r="F7" s="82" t="str">
        <x:v>LOCAL_ASSET</x:v>
      </x:c>
      <x:c r="G7" s="82" t="str">
        <x:v>Đã chuyển sang ảnh local và đổi tên file theo nội dung.</x:v>
      </x:c>
      <x:c r="H7" s="82" t="str">
        <x:v>Giữ đúng cấu trúc public/images/greensteps khi tích hợp vào dự án.</x:v>
      </x:c>
      <x:c r="I7" s="93" t="str">
        <x:v>https://i.pinimg.com/1200x/53/36/64/533664d17c0a350a076c252ee010e5a6.jpg</x:v>
      </x:c>
    </x:row>
    <x:row r="8">
      <x:c r="A8" s="82" t="str">
        <x:v>Schedule</x:v>
      </x:c>
      <x:c r="B8" s="82" t="n">
        <x:v>5</x:v>
      </x:c>
      <x:c r="C8" s="82" t="str">
        <x:v>SCHPY004</x:v>
      </x:c>
      <x:c r="D8" s="82" t="str">
        <x:v>Hòn Yến - Nhất Tự Sơn - làng chài xanh</x:v>
      </x:c>
      <x:c r="E8" s="82" t="str">
        <x:v>/image/tours/phu-yen-bien-trong-01.jpg</x:v>
      </x:c>
      <x:c r="F8" s="82" t="str">
        <x:v>LOCAL_ASSET</x:v>
      </x:c>
      <x:c r="G8" s="82" t="str">
        <x:v>Đã chuyển sang ảnh local và đổi tên file theo nội dung.</x:v>
      </x:c>
      <x:c r="H8" s="82" t="str">
        <x:v>Giữ đúng cấu trúc public/images/greensteps khi tích hợp vào dự án.</x:v>
      </x:c>
      <x:c r="I8" s="93" t="str">
        <x:v>https://i.pinimg.com/1200x/e6/58/65/e658653f875121e5aadc54c25a1b397b.jpg</x:v>
      </x:c>
    </x:row>
    <x:row r="9">
      <x:c r="A9" s="82" t="str">
        <x:v>Schedule</x:v>
      </x:c>
      <x:c r="B9" s="82" t="n">
        <x:v>6</x:v>
      </x:c>
      <x:c r="C9" s="82" t="str">
        <x:v>SCHDL005</x:v>
      </x:c>
      <x:c r="D9" s="82" t="str">
        <x:v>Đà Lạt chill: Hồ Xuân Hương - Quảng trường Lâm Viên</x:v>
      </x:c>
      <x:c r="E9" s="82" t="str">
        <x:v>/image/tours/da-lat-ho-xuan-huong-01.jpg</x:v>
      </x:c>
      <x:c r="F9" s="82" t="str">
        <x:v>LOCAL_ASSET</x:v>
      </x:c>
      <x:c r="G9" s="82" t="str">
        <x:v>Đã chuyển sang ảnh local và đổi tên file theo nội dung.</x:v>
      </x:c>
      <x:c r="H9" s="82" t="str">
        <x:v>Giữ đúng cấu trúc public/images/greensteps khi tích hợp vào dự án.</x:v>
      </x:c>
      <x:c r="I9" s="93" t="str">
        <x:v>https://i.pinimg.com/736x/10/f4/97/10f4970291970e2f773327a6ad723bc0.jpg</x:v>
      </x:c>
    </x:row>
    <x:row r="10">
      <x:c r="A10" s="82" t="str">
        <x:v>Schedule</x:v>
      </x:c>
      <x:c r="B10" s="82" t="n">
        <x:v>7</x:v>
      </x:c>
      <x:c r="C10" s="82" t="str">
        <x:v>SCHDL006</x:v>
      </x:c>
      <x:c r="D10" s="82" t="str">
        <x:v>Langbiang - làng Cù Lần - nông trại cà phê</x:v>
      </x:c>
      <x:c r="E10" s="82" t="str">
        <x:v>/image/tours/da-lat-toan-canh-thanh-pho-01.jpg</x:v>
      </x:c>
      <x:c r="F10" s="82" t="str">
        <x:v>LOCAL_ASSET</x:v>
      </x:c>
      <x:c r="G10" s="82" t="str">
        <x:v>Đã chuyển sang ảnh local và đổi tên file theo nội dung.</x:v>
      </x:c>
      <x:c r="H10" s="82" t="str">
        <x:v>Giữ đúng cấu trúc public/images/greensteps khi tích hợp vào dự án.</x:v>
      </x:c>
      <x:c r="I10" s="93" t="str">
        <x:v>https://i.pinimg.com/1200x/69/d6/e5/69d6e56299838d8728a7670ed21edd91.jpg</x:v>
      </x:c>
    </x:row>
    <x:row r="11">
      <x:c r="A11" s="82" t="str">
        <x:v>Schedule</x:v>
      </x:c>
      <x:c r="B11" s="82" t="n">
        <x:v>8</x:v>
      </x:c>
      <x:c r="C11" s="82" t="str">
        <x:v>SCHDL007</x:v>
      </x:c>
      <x:c r="D11" s="82" t="str">
        <x:v>Hồ Tuyền Lâm - Thiền viện Trúc Lâm - thác Datanla</x:v>
      </x:c>
      <x:c r="E11" s="82" t="str">
        <x:v>/image/tours/da-lat-ho-tuyen-lam-01.jpg</x:v>
      </x:c>
      <x:c r="F11" s="82" t="str">
        <x:v>LOCAL_ASSET</x:v>
      </x:c>
      <x:c r="G11" s="82" t="str">
        <x:v>Đã chuyển sang ảnh local và đổi tên file theo nội dung.</x:v>
      </x:c>
      <x:c r="H11" s="82" t="str">
        <x:v>Giữ đúng cấu trúc public/images/greensteps khi tích hợp vào dự án.</x:v>
      </x:c>
      <x:c r="I11" s="93" t="str">
        <x:v>https://i.pinimg.com/1200x/b4/cd/b9/b4cdb9c05718a57d34787052447ca7bf.jpg</x:v>
      </x:c>
    </x:row>
    <x:row r="12">
      <x:c r="A12" s="82" t="str">
        <x:v>Schedule</x:v>
      </x:c>
      <x:c r="B12" s="82" t="n">
        <x:v>9</x:v>
      </x:c>
      <x:c r="C12" s="82" t="str">
        <x:v>SCHDL008</x:v>
      </x:c>
      <x:c r="D12" s="82" t="str">
        <x:v>Săn mây Cầu Đất - Chùa Linh Phước - vườn hoa</x:v>
      </x:c>
      <x:c r="E12" s="82" t="str">
        <x:v>/image/tours/da-lat-rung-thong-san-may-01.jpg</x:v>
      </x:c>
      <x:c r="F12" s="82" t="str">
        <x:v>LOCAL_ASSET</x:v>
      </x:c>
      <x:c r="G12" s="82" t="str">
        <x:v>Đã chuyển sang ảnh local và đổi tên file theo nội dung.</x:v>
      </x:c>
      <x:c r="H12" s="82" t="str">
        <x:v>Giữ đúng cấu trúc public/images/greensteps khi tích hợp vào dự án.</x:v>
      </x:c>
      <x:c r="I12" s="93" t="str">
        <x:v>https://i.pinimg.com/736x/ab/bc/3e/abbc3ebbbc054d6cb45b48527d25635d.jpg</x:v>
      </x:c>
    </x:row>
    <x:row r="13">
      <x:c r="A13" s="82" t="str">
        <x:v>Schedule</x:v>
      </x:c>
      <x:c r="B13" s="82" t="n">
        <x:v>10</x:v>
      </x:c>
      <x:c r="C13" s="82" t="str">
        <x:v>SCHDN009</x:v>
      </x:c>
      <x:c r="D13" s="82" t="str">
        <x:v>Đà Nẵng biển xanh: Sơn Trà - Linh Ứng - Cầu Rồng</x:v>
      </x:c>
      <x:c r="E13" s="82" t="str">
        <x:v>/image/tours/da-nang-bien-my-khe-toan-canh-01.jpg</x:v>
      </x:c>
      <x:c r="F13" s="82" t="str">
        <x:v>LOCAL_ASSET</x:v>
      </x:c>
      <x:c r="G13" s="82" t="str">
        <x:v>Đã chuyển sang ảnh local và đổi tên file theo nội dung.</x:v>
      </x:c>
      <x:c r="H13" s="82" t="str">
        <x:v>Giữ đúng cấu trúc public/images/greensteps khi tích hợp vào dự án.</x:v>
      </x:c>
      <x:c r="I13" s="93" t="str">
        <x:v>https://i.pinimg.com/736x/f3/34/b3/f334b3d836d0d5fd68f797f7ad3c7021.jpg</x:v>
      </x:c>
    </x:row>
    <x:row r="14">
      <x:c r="A14" s="82" t="str">
        <x:v>Schedule</x:v>
      </x:c>
      <x:c r="B14" s="82" t="n">
        <x:v>11</x:v>
      </x:c>
      <x:c r="C14" s="82" t="str">
        <x:v>SCHDN010</x:v>
      </x:c>
      <x:c r="D14" s="82" t="str">
        <x:v>Bà Nà Hills - Cầu Vàng trong mây</x:v>
      </x:c>
      <x:c r="E14" s="82" t="str">
        <x:v>/image/tours/da-nang-cau-vang-ba-na-hills-01.jpg</x:v>
      </x:c>
      <x:c r="F14" s="82" t="str">
        <x:v>LOCAL_ASSET</x:v>
      </x:c>
      <x:c r="G14" s="82" t="str">
        <x:v>Đã chuyển sang ảnh local và đổi tên file theo nội dung.</x:v>
      </x:c>
      <x:c r="H14" s="82" t="str">
        <x:v>Giữ đúng cấu trúc public/images/greensteps khi tích hợp vào dự án.</x:v>
      </x:c>
      <x:c r="I14" s="93" t="str">
        <x:v>https://i.pinimg.com/736x/3d/a1/1f/3da11f5f8766b7c71fdce561420950e1.jpg</x:v>
      </x:c>
    </x:row>
    <x:row r="15">
      <x:c r="A15" s="82" t="str">
        <x:v>Schedule</x:v>
      </x:c>
      <x:c r="B15" s="82" t="n">
        <x:v>12</x:v>
      </x:c>
      <x:c r="C15" s="82" t="str">
        <x:v>SCHHA011</x:v>
      </x:c>
      <x:c r="D15" s="82" t="str">
        <x:v>Hội An di sản - rừng dừa Bảy Mẫu - Trà Quế</x:v>
      </x:c>
      <x:c r="E15" s="82" t="str">
        <x:v>/image/tours/hoi-an-lang-rau-tra-que-01.jpg</x:v>
      </x:c>
      <x:c r="F15" s="82" t="str">
        <x:v>LOCAL_ASSET</x:v>
      </x:c>
      <x:c r="G15" s="82" t="str">
        <x:v>Đã chuyển sang ảnh local và đổi tên file theo nội dung.</x:v>
      </x:c>
      <x:c r="H15" s="82" t="str">
        <x:v>Giữ đúng cấu trúc public/images/greensteps khi tích hợp vào dự án.</x:v>
      </x:c>
      <x:c r="I15" s="93" t="str">
        <x:v>https://i.pinimg.com/736x/a6/f9/2e/a6f92ed32526a0b16c257a645e4034fc.jpg</x:v>
      </x:c>
    </x:row>
    <x:row r="16">
      <x:c r="A16" s="82" t="str">
        <x:v>Schedule</x:v>
      </x:c>
      <x:c r="B16" s="82" t="n">
        <x:v>13</x:v>
      </x:c>
      <x:c r="C16" s="82" t="str">
        <x:v>SCHHA012</x:v>
      </x:c>
      <x:c r="D16" s="82" t="str">
        <x:v>Ngũ Hành Sơn - Cù Lao Chàm - phố Hội</x:v>
      </x:c>
      <x:c r="E16" s="82" t="str">
        <x:v>/image/tours/hoi-an-chua-cau-01.jpg</x:v>
      </x:c>
      <x:c r="F16" s="82" t="str">
        <x:v>LOCAL_ASSET</x:v>
      </x:c>
      <x:c r="G16" s="82" t="str">
        <x:v>Đã chuyển sang ảnh local và đổi tên file theo nội dung.</x:v>
      </x:c>
      <x:c r="H16" s="82" t="str">
        <x:v>Giữ đúng cấu trúc public/images/greensteps khi tích hợp vào dự án.</x:v>
      </x:c>
      <x:c r="I16" s="93" t="str">
        <x:v>https://i.pinimg.com/1200x/51/8a/24/518a24abfd5bf366aaea50f79fc67644.jpg</x:v>
      </x:c>
    </x:row>
    <x:row r="17">
      <x:c r="A17" s="82" t="str">
        <x:v>GreenService</x:v>
      </x:c>
      <x:c r="B17" s="82" t="n">
        <x:v>2</x:v>
      </x:c>
      <x:c r="C17" s="82" t="str">
        <x:v>SRV_PY_GANHDA01</x:v>
      </x:c>
      <x:c r="D17" s="82" t="str">
        <x:v>Vé tham quan Gành Đá Đĩa</x:v>
      </x:c>
      <x:c r="E17" s="82" t="str">
        <x:v>/image/tours/phu-yen-bai-da-ven-bien-01.jpg</x:v>
      </x:c>
      <x:c r="F17" s="82" t="str">
        <x:v>LOCAL_ASSET</x:v>
      </x:c>
      <x:c r="G17" s="82" t="str">
        <x:v>Đã chuyển sang ảnh local và đổi tên file theo nội dung.</x:v>
      </x:c>
      <x:c r="H17" s="82" t="str">
        <x:v>Giữ đúng cấu trúc public/images/greensteps khi tích hợp vào dự án.</x:v>
      </x:c>
      <x:c r="I17" s="93" t="str">
        <x:v>https://i.pinimg.com/736x/60/9c/ef/609cefb4e490debd1ea140b6e21be7bc.jpg</x:v>
      </x:c>
    </x:row>
    <x:row r="18">
      <x:c r="A18" s="82" t="str">
        <x:v>GreenService</x:v>
      </x:c>
      <x:c r="B18" s="82" t="n">
        <x:v>3</x:v>
      </x:c>
      <x:c r="C18" s="82" t="str">
        <x:v>SRV_PY_DAMOLOAN01</x:v>
      </x:c>
      <x:c r="D18" s="82" t="str">
        <x:v>Bữa hải sản đầm Ô Loan không nhựa dùng một lần</x:v>
      </x:c>
      <x:c r="E18" s="82" t="str">
        <x:v>/image/tours/phu-yen-canh-quan-xanh-01.jpg</x:v>
      </x:c>
      <x:c r="F18" s="82" t="str">
        <x:v>LOCAL_ASSET</x:v>
      </x:c>
      <x:c r="G18" s="82" t="str">
        <x:v>Đã chuyển sang ảnh local và đổi tên file theo nội dung.</x:v>
      </x:c>
      <x:c r="H18" s="82" t="str">
        <x:v>Giữ đúng cấu trúc public/images/greensteps khi tích hợp vào dự án.</x:v>
      </x:c>
      <x:c r="I18" s="93" t="str">
        <x:v>https://i.pinimg.com/1200x/c9/81/68/c9816838986e252b85aab71a13f07d8d.jpg</x:v>
      </x:c>
    </x:row>
    <x:row r="19">
      <x:c r="A19" s="82" t="str">
        <x:v>GreenService</x:v>
      </x:c>
      <x:c r="B19" s="82" t="n">
        <x:v>4</x:v>
      </x:c>
      <x:c r="C19" s="82" t="str">
        <x:v>SRV_PY_MUIDIEN01</x:v>
      </x:c>
      <x:c r="D19" s="82" t="str">
        <x:v>Check-in Hải đăng Mũi Điện - Bãi Môn</x:v>
      </x:c>
      <x:c r="E19" s="82" t="str">
        <x:v>/image/tours/phu-yen-mui-dien-bai-mon-01.jpg</x:v>
      </x:c>
      <x:c r="F19" s="82" t="str">
        <x:v>LOCAL_ASSET</x:v>
      </x:c>
      <x:c r="G19" s="82" t="str">
        <x:v>Đã chuyển sang ảnh local và đổi tên file theo nội dung.</x:v>
      </x:c>
      <x:c r="H19" s="82" t="str">
        <x:v>Giữ đúng cấu trúc public/images/greensteps khi tích hợp vào dự án.</x:v>
      </x:c>
      <x:c r="I19" s="93" t="str">
        <x:v>https://i.pinimg.com/1200x/a4/54/5a/a4545a58170747ef18d15a28d465bc13.jpg</x:v>
      </x:c>
    </x:row>
    <x:row r="20">
      <x:c r="A20" s="82" t="str">
        <x:v>GreenService</x:v>
      </x:c>
      <x:c r="B20" s="82" t="n">
        <x:v>5</x:v>
      </x:c>
      <x:c r="C20" s="82" t="str">
        <x:v>SRV_PY_BAIXEP01</x:v>
      </x:c>
      <x:c r="D20" s="82" t="str">
        <x:v>Trekking nhẹ Bãi Xép - Ghềnh Ông</x:v>
      </x:c>
      <x:c r="E20" s="82" t="str">
        <x:v>/image/tours/phu-yen-bai-xep-checkin-01.jpg</x:v>
      </x:c>
      <x:c r="F20" s="82" t="str">
        <x:v>LOCAL_ASSET</x:v>
      </x:c>
      <x:c r="G20" s="82" t="str">
        <x:v>Đã chuyển sang ảnh local và đổi tên file theo nội dung.</x:v>
      </x:c>
      <x:c r="H20" s="82" t="str">
        <x:v>Giữ đúng cấu trúc public/images/greensteps khi tích hợp vào dự án.</x:v>
      </x:c>
      <x:c r="I20" s="93" t="str">
        <x:v>https://i.pinimg.com/1200x/9b/43/5f/9b435f463cb84aa6065b3c0c44eec4cc.jpg</x:v>
      </x:c>
    </x:row>
    <x:row r="21">
      <x:c r="A21" s="82" t="str">
        <x:v>GreenService</x:v>
      </x:c>
      <x:c r="B21" s="82" t="n">
        <x:v>6</x:v>
      </x:c>
      <x:c r="C21" s="82" t="str">
        <x:v>SRV_PY_HONYEN01</x:v>
      </x:c>
      <x:c r="D21" s="82" t="str">
        <x:v>Ngắm san hô Hòn Yến khi thủy triều xuống</x:v>
      </x:c>
      <x:c r="E21" s="82" t="str">
        <x:v>/image/tours/phu-yen-bien-trong-01.jpg</x:v>
      </x:c>
      <x:c r="F21" s="82" t="str">
        <x:v>LOCAL_ASSET</x:v>
      </x:c>
      <x:c r="G21" s="82" t="str">
        <x:v>Đã chuyển sang ảnh local và đổi tên file theo nội dung.</x:v>
      </x:c>
      <x:c r="H21" s="82" t="str">
        <x:v>Giữ đúng cấu trúc public/images/greensteps khi tích hợp vào dự án.</x:v>
      </x:c>
      <x:c r="I21" s="93" t="str">
        <x:v>https://i.pinimg.com/736x/3f/87/0e/3f870eb589c0b29dd95402a8acf8cf25.jpg</x:v>
      </x:c>
    </x:row>
    <x:row r="22">
      <x:c r="A22" s="82" t="str">
        <x:v>GreenService</x:v>
      </x:c>
      <x:c r="B22" s="82" t="n">
        <x:v>7</x:v>
      </x:c>
      <x:c r="C22" s="82" t="str">
        <x:v>SRV_PY_EBIKE01</x:v>
      </x:c>
      <x:c r="D22" s="82" t="str">
        <x:v>Xe điện nhóm nhỏ Tuy Hòa - Tuy An</x:v>
      </x:c>
      <x:c r="E22" s="82" t="str">
        <x:v>/image/tours/phu-yen-checkin-ven-bien-01.jpg</x:v>
      </x:c>
      <x:c r="F22" s="82" t="str">
        <x:v>LOCAL_ASSET</x:v>
      </x:c>
      <x:c r="G22" s="82" t="str">
        <x:v>Đã chuyển sang ảnh local và đổi tên file theo nội dung.</x:v>
      </x:c>
      <x:c r="H22" s="82" t="str">
        <x:v>Giữ đúng cấu trúc public/images/greensteps khi tích hợp vào dự án.</x:v>
      </x:c>
      <x:c r="I22" s="93" t="str">
        <x:v>https://i.pinimg.com/736x/12/3f/f2/123ff25efda490eb4228ebea787f66cd.jpg</x:v>
      </x:c>
    </x:row>
    <x:row r="23">
      <x:c r="A23" s="82" t="str">
        <x:v>GreenService</x:v>
      </x:c>
      <x:c r="B23" s="82" t="n">
        <x:v>8</x:v>
      </x:c>
      <x:c r="C23" s="82" t="str">
        <x:v>SRV_PY_HOMESTAY01</x:v>
      </x:c>
      <x:c r="D23" s="82" t="str">
        <x:v>Homestay làng chài Hòn Yến giảm nhựa</x:v>
      </x:c>
      <x:c r="E23" s="82" t="str">
        <x:v>/image/tours/phu-yen-bien-trong-01.jpg</x:v>
      </x:c>
      <x:c r="F23" s="82" t="str">
        <x:v>LOCAL_ASSET</x:v>
      </x:c>
      <x:c r="G23" s="82" t="str">
        <x:v>Đã chuyển sang ảnh local và đổi tên file theo nội dung.</x:v>
      </x:c>
      <x:c r="H23" s="82" t="str">
        <x:v>Giữ đúng cấu trúc public/images/greensteps khi tích hợp vào dự án.</x:v>
      </x:c>
      <x:c r="I23" s="93" t="str">
        <x:v>https://i.pinimg.com/736x/e2/4f/59/e24f591500b16e994a8055892f2a7b52.jpg</x:v>
      </x:c>
    </x:row>
    <x:row r="24">
      <x:c r="A24" s="82" t="str">
        <x:v>GreenService</x:v>
      </x:c>
      <x:c r="B24" s="82" t="n">
        <x:v>9</x:v>
      </x:c>
      <x:c r="C24" s="82" t="str">
        <x:v>SRV_DL_XUANHUONG01</x:v>
      </x:c>
      <x:c r="D24" s="82" t="str">
        <x:v>Đạp xe quanh Hồ Xuân Hương</x:v>
      </x:c>
      <x:c r="E24" s="82" t="str">
        <x:v>/image/tours/da-lat-ho-xuan-huong-01.jpg</x:v>
      </x:c>
      <x:c r="F24" s="82" t="str">
        <x:v>LOCAL_ASSET</x:v>
      </x:c>
      <x:c r="G24" s="82" t="str">
        <x:v>Đã chuyển sang ảnh local và đổi tên file theo nội dung.</x:v>
      </x:c>
      <x:c r="H24" s="82" t="str">
        <x:v>Giữ đúng cấu trúc public/images/greensteps khi tích hợp vào dự án.</x:v>
      </x:c>
      <x:c r="I24" s="93" t="str">
        <x:v>https://i.pinimg.com/736x/57/3e/6e/573e6e32477855a7ed566e64e07a4c39.jpg</x:v>
      </x:c>
    </x:row>
    <x:row r="25">
      <x:c r="A25" s="82" t="str">
        <x:v>GreenService</x:v>
      </x:c>
      <x:c r="B25" s="82" t="n">
        <x:v>10</x:v>
      </x:c>
      <x:c r="C25" s="82" t="str">
        <x:v>SRV_DL_LAMVIEN01</x:v>
      </x:c>
      <x:c r="D25" s="82" t="str">
        <x:v>Check-in Quảng trường Lâm Viên</x:v>
      </x:c>
      <x:c r="E25" s="82" t="str">
        <x:v>/image/tours/da-lat-quang-truong-lam-vien-01.jpg</x:v>
      </x:c>
      <x:c r="F25" s="82" t="str">
        <x:v>LOCAL_ASSET</x:v>
      </x:c>
      <x:c r="G25" s="82" t="str">
        <x:v>Đã chuyển sang ảnh local và đổi tên file theo nội dung.</x:v>
      </x:c>
      <x:c r="H25" s="82" t="str">
        <x:v>Giữ đúng cấu trúc public/images/greensteps khi tích hợp vào dự án.</x:v>
      </x:c>
      <x:c r="I25" s="93" t="str">
        <x:v>https://i.pinimg.com/736x/21/55/8f/21558f3ae0639ac880decc74e24a4f9a.jpg</x:v>
      </x:c>
    </x:row>
    <x:row r="26">
      <x:c r="A26" s="82" t="str">
        <x:v>GreenService</x:v>
      </x:c>
      <x:c r="B26" s="82" t="n">
        <x:v>11</x:v>
      </x:c>
      <x:c r="C26" s="82" t="str">
        <x:v>SRV_DL_LANGBIANG01</x:v>
      </x:c>
      <x:c r="D26" s="82" t="str">
        <x:v>Trekking Langbiang cùng hướng dẫn viên bản địa</x:v>
      </x:c>
      <x:c r="E26" s="82" t="str">
        <x:v>/image/tours/da-lat-toan-canh-thanh-pho-01.jpg</x:v>
      </x:c>
      <x:c r="F26" s="82" t="str">
        <x:v>LOCAL_ASSET</x:v>
      </x:c>
      <x:c r="G26" s="82" t="str">
        <x:v>Đã chuyển sang ảnh local và đổi tên file theo nội dung.</x:v>
      </x:c>
      <x:c r="H26" s="82" t="str">
        <x:v>Giữ đúng cấu trúc public/images/greensteps khi tích hợp vào dự án.</x:v>
      </x:c>
      <x:c r="I26" s="93" t="str">
        <x:v>https://i.pinimg.com/1200x/ce/2c/ca/ce2ccaa3ae760d552f1f7a765572239f.jpg</x:v>
      </x:c>
    </x:row>
    <x:row r="27">
      <x:c r="A27" s="82" t="str">
        <x:v>GreenService</x:v>
      </x:c>
      <x:c r="B27" s="82" t="n">
        <x:v>12</x:v>
      </x:c>
      <x:c r="C27" s="82" t="str">
        <x:v>SRV_DL_TUYENLAM01</x:v>
      </x:c>
      <x:c r="D27" s="82" t="str">
        <x:v>Chèo SUP hồ Tuyền Lâm</x:v>
      </x:c>
      <x:c r="E27" s="82" t="str">
        <x:v>/image/tours/da-lat-ho-tuyen-lam-01.jpg</x:v>
      </x:c>
      <x:c r="F27" s="82" t="str">
        <x:v>LOCAL_ASSET</x:v>
      </x:c>
      <x:c r="G27" s="82" t="str">
        <x:v>Đã chuyển sang ảnh local và đổi tên file theo nội dung.</x:v>
      </x:c>
      <x:c r="H27" s="82" t="str">
        <x:v>Giữ đúng cấu trúc public/images/greensteps khi tích hợp vào dự án.</x:v>
      </x:c>
      <x:c r="I27" s="93" t="str">
        <x:v>https://i.pinimg.com/736x/ea/01/24/ea0124134d5a8203b0be16f2ab14c78b.jpg</x:v>
      </x:c>
    </x:row>
    <x:row r="28">
      <x:c r="A28" s="82" t="str">
        <x:v>GreenService</x:v>
      </x:c>
      <x:c r="B28" s="82" t="n">
        <x:v>13</x:v>
      </x:c>
      <x:c r="C28" s="82" t="str">
        <x:v>SRV_DL_TRUCLAM01</x:v>
      </x:c>
      <x:c r="D28" s="82" t="str">
        <x:v>Tham quan Thiền viện Trúc Lâm</x:v>
      </x:c>
      <x:c r="E28" s="82" t="str">
        <x:v>/image/tours/da-lat-chua-linh-phuoc-01.jpg</x:v>
      </x:c>
      <x:c r="F28" s="82" t="str">
        <x:v>LOCAL_ASSET</x:v>
      </x:c>
      <x:c r="G28" s="82" t="str">
        <x:v>Đã chuyển sang ảnh local và đổi tên file theo nội dung.</x:v>
      </x:c>
      <x:c r="H28" s="82" t="str">
        <x:v>Giữ đúng cấu trúc public/images/greensteps khi tích hợp vào dự án.</x:v>
      </x:c>
      <x:c r="I28" s="93" t="str">
        <x:v>https://i.pinimg.com/1200x/4f/3f/cc/4f3fcc214267658458c9328dd1b4f7d5.jpg</x:v>
      </x:c>
    </x:row>
    <x:row r="29">
      <x:c r="A29" s="82" t="str">
        <x:v>GreenService</x:v>
      </x:c>
      <x:c r="B29" s="82" t="n">
        <x:v>14</x:v>
      </x:c>
      <x:c r="C29" s="82" t="str">
        <x:v>SRV_DL_CAUKDAT01</x:v>
      </x:c>
      <x:c r="D29" s="82" t="str">
        <x:v>Workshop cà phê Cầu Đất &amp; nông trại hữu cơ</x:v>
      </x:c>
      <x:c r="E29" s="82" t="str">
        <x:v>/image/tours/da-lat-rung-thong-san-may-01.jpg</x:v>
      </x:c>
      <x:c r="F29" s="82" t="str">
        <x:v>LOCAL_ASSET</x:v>
      </x:c>
      <x:c r="G29" s="82" t="str">
        <x:v>Đã chuyển sang ảnh local và đổi tên file theo nội dung.</x:v>
      </x:c>
      <x:c r="H29" s="82" t="str">
        <x:v>Giữ đúng cấu trúc public/images/greensteps khi tích hợp vào dự án.</x:v>
      </x:c>
      <x:c r="I29" s="93" t="str">
        <x:v>https://i.pinimg.com/736x/6b/66/2d/6b662d824945ef388197b07d998f8359.jpg</x:v>
      </x:c>
    </x:row>
    <x:row r="30">
      <x:c r="A30" s="82" t="str">
        <x:v>GreenService</x:v>
      </x:c>
      <x:c r="B30" s="82" t="n">
        <x:v>15</x:v>
      </x:c>
      <x:c r="C30" s="82" t="str">
        <x:v>SRV_DL_LINHPHUOC01</x:v>
      </x:c>
      <x:c r="D30" s="82" t="str">
        <x:v>Tham quan Chùa Linh Phước</x:v>
      </x:c>
      <x:c r="E30" s="82" t="str">
        <x:v>/image/tours/da-lat-chua-linh-phuoc-01.jpg</x:v>
      </x:c>
      <x:c r="F30" s="82" t="str">
        <x:v>LOCAL_ASSET</x:v>
      </x:c>
      <x:c r="G30" s="82" t="str">
        <x:v>Đã chuyển sang ảnh local và đổi tên file theo nội dung.</x:v>
      </x:c>
      <x:c r="H30" s="82" t="str">
        <x:v>Giữ đúng cấu trúc public/images/greensteps khi tích hợp vào dự án.</x:v>
      </x:c>
      <x:c r="I30" s="93" t="str">
        <x:v>https://i.pinimg.com/1200x/50/81/43/5081433e45c77ae665bfade0671c76e4.jpg</x:v>
      </x:c>
    </x:row>
    <x:row r="31">
      <x:c r="A31" s="82" t="str">
        <x:v>GreenService</x:v>
      </x:c>
      <x:c r="B31" s="82" t="n">
        <x:v>16</x:v>
      </x:c>
      <x:c r="C31" s="82" t="str">
        <x:v>SRV_DL_EBIKE01</x:v>
      </x:c>
      <x:c r="D31" s="82" t="str">
        <x:v>Thuê xe đạp/xe điện Đà Lạt</x:v>
      </x:c>
      <x:c r="E31" s="82" t="str">
        <x:v>/image/tours/da-lat-doc-pho-01.jpg</x:v>
      </x:c>
      <x:c r="F31" s="82" t="str">
        <x:v>LOCAL_ASSET</x:v>
      </x:c>
      <x:c r="G31" s="82" t="str">
        <x:v>Đã chuyển sang ảnh local và đổi tên file theo nội dung.</x:v>
      </x:c>
      <x:c r="H31" s="82" t="str">
        <x:v>Giữ đúng cấu trúc public/images/greensteps khi tích hợp vào dự án.</x:v>
      </x:c>
      <x:c r="I31" s="93" t="str">
        <x:v>https://i.pinimg.com/736x/c6/61/09/c6610904eb8a55fc18cdc007f25f1a12.jpg</x:v>
      </x:c>
    </x:row>
    <x:row r="32">
      <x:c r="A32" s="82" t="str">
        <x:v>GreenService</x:v>
      </x:c>
      <x:c r="B32" s="82" t="n">
        <x:v>17</x:v>
      </x:c>
      <x:c r="C32" s="82" t="str">
        <x:v>SRV_DL_HOMESTAY01</x:v>
      </x:c>
      <x:c r="D32" s="82" t="str">
        <x:v>Lưu trú xanh ven hồ Tuyền Lâm</x:v>
      </x:c>
      <x:c r="E32" s="82" t="str">
        <x:v>/image/tours/da-lat-ho-tuyen-lam-01.jpg</x:v>
      </x:c>
      <x:c r="F32" s="82" t="str">
        <x:v>LOCAL_ASSET</x:v>
      </x:c>
      <x:c r="G32" s="82" t="str">
        <x:v>Đã chuyển sang ảnh local và đổi tên file theo nội dung.</x:v>
      </x:c>
      <x:c r="H32" s="82" t="str">
        <x:v>Giữ đúng cấu trúc public/images/greensteps khi tích hợp vào dự án.</x:v>
      </x:c>
      <x:c r="I32" s="93" t="str">
        <x:v>https://i.pinimg.com/736x/9e/28/e0/9e28e009cfaea443652af842c4b6ccae.jpg</x:v>
      </x:c>
    </x:row>
    <x:row r="33">
      <x:c r="A33" s="82" t="str">
        <x:v>GreenService</x:v>
      </x:c>
      <x:c r="B33" s="82" t="n">
        <x:v>18</x:v>
      </x:c>
      <x:c r="C33" s="82" t="str">
        <x:v>SRV_DN_DRAGON01</x:v>
      </x:c>
      <x:c r="D33" s="82" t="str">
        <x:v>Dạo Cầu Rồng &amp; sông Hàn buổi tối</x:v>
      </x:c>
      <x:c r="E33" s="82" t="str">
        <x:v>/image/tours/da-nang-cau-rong-hoang-hon-01.jpg</x:v>
      </x:c>
      <x:c r="F33" s="82" t="str">
        <x:v>LOCAL_ASSET</x:v>
      </x:c>
      <x:c r="G33" s="82" t="str">
        <x:v>Đã chuyển sang ảnh local và đổi tên file theo nội dung.</x:v>
      </x:c>
      <x:c r="H33" s="82" t="str">
        <x:v>Giữ đúng cấu trúc public/images/greensteps khi tích hợp vào dự án.</x:v>
      </x:c>
      <x:c r="I33" s="93" t="str">
        <x:v>https://i.pinimg.com/1200x/58/9e/60/589e603ed6614dbf063b018ca1d41044.jpg</x:v>
      </x:c>
    </x:row>
    <x:row r="34">
      <x:c r="A34" s="82" t="str">
        <x:v>GreenService</x:v>
      </x:c>
      <x:c r="B34" s="82" t="n">
        <x:v>19</x:v>
      </x:c>
      <x:c r="C34" s="82" t="str">
        <x:v>SRV_DN_GOLDEN01</x:v>
      </x:c>
      <x:c r="D34" s="82" t="str">
        <x:v>Vé Cầu Vàng - Bà Nà Hills</x:v>
      </x:c>
      <x:c r="E34" s="82" t="str">
        <x:v>/image/tours/da-nang-cau-vang-ba-na-hills-01.jpg</x:v>
      </x:c>
      <x:c r="F34" s="82" t="str">
        <x:v>LOCAL_ASSET</x:v>
      </x:c>
      <x:c r="G34" s="82" t="str">
        <x:v>Đã chuyển sang ảnh local và đổi tên file theo nội dung.</x:v>
      </x:c>
      <x:c r="H34" s="82" t="str">
        <x:v>Giữ đúng cấu trúc public/images/greensteps khi tích hợp vào dự án.</x:v>
      </x:c>
      <x:c r="I34" s="93" t="str">
        <x:v>https://i.pinimg.com/1200x/0f/6e/d5/0f6ed53001e1e7e73eb761f57062f899.jpg</x:v>
      </x:c>
    </x:row>
    <x:row r="35">
      <x:c r="A35" s="82" t="str">
        <x:v>GreenService</x:v>
      </x:c>
      <x:c r="B35" s="82" t="n">
        <x:v>20</x:v>
      </x:c>
      <x:c r="C35" s="82" t="str">
        <x:v>SRV_DN_MARBLE01</x:v>
      </x:c>
      <x:c r="D35" s="82" t="str">
        <x:v>Khám phá Ngũ Hành Sơn</x:v>
      </x:c>
      <x:c r="E35" s="82" t="str">
        <x:v>/image/tours/da-nang-son-tra-rung-xanh-01.jpg</x:v>
      </x:c>
      <x:c r="F35" s="82" t="str">
        <x:v>LOCAL_ASSET</x:v>
      </x:c>
      <x:c r="G35" s="82" t="str">
        <x:v>Đã chuyển sang ảnh local và đổi tên file theo nội dung.</x:v>
      </x:c>
      <x:c r="H35" s="82" t="str">
        <x:v>Giữ đúng cấu trúc public/images/greensteps khi tích hợp vào dự án.</x:v>
      </x:c>
      <x:c r="I35" s="93" t="str">
        <x:v>https://i.pinimg.com/736x/cc/73/e2/cc73e2cbfec31c9331494fe1117b8085.jpg</x:v>
      </x:c>
    </x:row>
    <x:row r="36">
      <x:c r="A36" s="82" t="str">
        <x:v>GreenService</x:v>
      </x:c>
      <x:c r="B36" s="82" t="n">
        <x:v>21</x:v>
      </x:c>
      <x:c r="C36" s="82" t="str">
        <x:v>SRV_DN_SONTRA01</x:v>
      </x:c>
      <x:c r="D36" s="82" t="str">
        <x:v>Bán đảo Sơn Trà - Chùa Linh Ứng</x:v>
      </x:c>
      <x:c r="E36" s="82" t="str">
        <x:v>/image/tours/da-nang-son-tra-rung-xanh-01.jpg</x:v>
      </x:c>
      <x:c r="F36" s="82" t="str">
        <x:v>LOCAL_ASSET</x:v>
      </x:c>
      <x:c r="G36" s="82" t="str">
        <x:v>Đã chuyển sang ảnh local và đổi tên file theo nội dung.</x:v>
      </x:c>
      <x:c r="H36" s="82" t="str">
        <x:v>Giữ đúng cấu trúc public/images/greensteps khi tích hợp vào dự án.</x:v>
      </x:c>
      <x:c r="I36" s="93" t="str">
        <x:v>https://i.pinimg.com/1200x/ba/83/5c/ba835ca954a9de23675159b00778f2d9.jpg</x:v>
      </x:c>
    </x:row>
    <x:row r="37">
      <x:c r="A37" s="82" t="str">
        <x:v>GreenService</x:v>
      </x:c>
      <x:c r="B37" s="82" t="n">
        <x:v>22</x:v>
      </x:c>
      <x:c r="C37" s="82" t="str">
        <x:v>SRV_HA_OLDTOWN01</x:v>
      </x:c>
      <x:c r="D37" s="82" t="str">
        <x:v>Phố cổ Hội An buổi tối</x:v>
      </x:c>
      <x:c r="E37" s="82" t="str">
        <x:v>/image/tours/hoi-an-pho-co-den-long-01.jpg</x:v>
      </x:c>
      <x:c r="F37" s="82" t="str">
        <x:v>LOCAL_ASSET</x:v>
      </x:c>
      <x:c r="G37" s="82" t="str">
        <x:v>Đã chuyển sang ảnh local và đổi tên file theo nội dung.</x:v>
      </x:c>
      <x:c r="H37" s="82" t="str">
        <x:v>Giữ đúng cấu trúc public/images/greensteps khi tích hợp vào dự án.</x:v>
      </x:c>
      <x:c r="I37" s="93" t="str">
        <x:v>https://i.pinimg.com/736x/72/fb/66/72fb66407e9d4bae2baca3d5d6976a50.jpg</x:v>
      </x:c>
    </x:row>
    <x:row r="38">
      <x:c r="A38" s="82" t="str">
        <x:v>GreenService</x:v>
      </x:c>
      <x:c r="B38" s="82" t="n">
        <x:v>23</x:v>
      </x:c>
      <x:c r="C38" s="82" t="str">
        <x:v>SRV_HA_COCONUT01</x:v>
      </x:c>
      <x:c r="D38" s="82" t="str">
        <x:v>Thuyền thúng rừng dừa Bảy Mẫu</x:v>
      </x:c>
      <x:c r="E38" s="82" t="str">
        <x:v>/image/tours/hoi-an-song-hoai-hoa-dang-01.jpg</x:v>
      </x:c>
      <x:c r="F38" s="82" t="str">
        <x:v>LOCAL_ASSET</x:v>
      </x:c>
      <x:c r="G38" s="82" t="str">
        <x:v>Đã chuyển sang ảnh local và đổi tên file theo nội dung.</x:v>
      </x:c>
      <x:c r="H38" s="82" t="str">
        <x:v>Giữ đúng cấu trúc public/images/greensteps khi tích hợp vào dự án.</x:v>
      </x:c>
      <x:c r="I38" s="93" t="str">
        <x:v>https://i.pinimg.com/1200x/20/91/54/209154787a463e0549849949116665c1.jpg</x:v>
      </x:c>
    </x:row>
    <x:row r="39">
      <x:c r="A39" s="82" t="str">
        <x:v>GreenService</x:v>
      </x:c>
      <x:c r="B39" s="82" t="n">
        <x:v>24</x:v>
      </x:c>
      <x:c r="C39" s="82" t="str">
        <x:v>SRV_HA_TRAQUE01</x:v>
      </x:c>
      <x:c r="D39" s="82" t="str">
        <x:v>Lớp nấu ăn làng rau Trà Quế</x:v>
      </x:c>
      <x:c r="E39" s="82" t="str">
        <x:v>/image/tours/hoi-an-lang-rau-tra-que-01.jpg</x:v>
      </x:c>
      <x:c r="F39" s="82" t="str">
        <x:v>LOCAL_ASSET</x:v>
      </x:c>
      <x:c r="G39" s="82" t="str">
        <x:v>Đã chuyển sang ảnh local và đổi tên file theo nội dung.</x:v>
      </x:c>
      <x:c r="H39" s="82" t="str">
        <x:v>Giữ đúng cấu trúc public/images/greensteps khi tích hợp vào dự án.</x:v>
      </x:c>
      <x:c r="I39" s="93" t="str">
        <x:v>https://i.pinimg.com/736x/67/cd/79/67cd79e84f7cc6c35a6817ebbb753caa.jpg</x:v>
      </x:c>
    </x:row>
    <x:row r="40">
      <x:c r="A40" s="82" t="str">
        <x:v>GreenService</x:v>
      </x:c>
      <x:c r="B40" s="82" t="n">
        <x:v>25</x:v>
      </x:c>
      <x:c r="C40" s="82" t="str">
        <x:v>SRV_DN_CHAM01</x:v>
      </x:c>
      <x:c r="D40" s="82" t="str">
        <x:v>Cù Lao Chàm snorkeling ít rác</x:v>
      </x:c>
      <x:c r="E40" s="82" t="str">
        <x:v>/image/tours/da-nang-bien-my-khe-01.jpg</x:v>
      </x:c>
      <x:c r="F40" s="82" t="str">
        <x:v>LOCAL_ASSET</x:v>
      </x:c>
      <x:c r="G40" s="82" t="str">
        <x:v>Đã chuyển sang ảnh local và đổi tên file theo nội dung.</x:v>
      </x:c>
      <x:c r="H40" s="82" t="str">
        <x:v>Giữ đúng cấu trúc public/images/greensteps khi tích hợp vào dự án.</x:v>
      </x:c>
      <x:c r="I40" s="93" t="str">
        <x:v>https://i.pinimg.com/736x/10/45/22/104522e091e22eadc9e27768c42bd6f2.jpg</x:v>
      </x:c>
    </x:row>
    <x:row r="41">
      <x:c r="A41" s="82" t="str">
        <x:v>ImageSources</x:v>
      </x:c>
      <x:c r="B41" s="82" t="n">
        <x:v>2</x:v>
      </x:c>
      <x:c r="C41" s="82" t="str">
        <x:v>Gành Đá Đĩa</x:v>
      </x:c>
      <x:c r="D41" s="82" t="str">
        <x:v>Gành Đá Đĩa</x:v>
      </x:c>
      <x:c r="E41" s="82" t="str">
        <x:v>/image/tours/phu-yen-bai-da-ven-bien-01.jpg</x:v>
      </x:c>
      <x:c r="F41" s="82" t="str">
        <x:v>LOCAL_ASSET</x:v>
      </x:c>
      <x:c r="G41" s="82" t="str">
        <x:v>Đã chuyển sang ảnh local và đổi tên file theo nội dung.</x:v>
      </x:c>
      <x:c r="H41" s="82" t="str">
        <x:v>Giữ đúng cấu trúc public/images/greensteps khi tích hợp vào dự án.</x:v>
      </x:c>
      <x:c r="I41" s="93" t="str">
        <x:v>https://i.pinimg.com/736x/60/9c/ef/609cefb4e490debd1ea140b6e21be7bc.jpg</x:v>
      </x:c>
    </x:row>
    <x:row r="42">
      <x:c r="A42" s="82" t="str">
        <x:v>ImageSources</x:v>
      </x:c>
      <x:c r="B42" s="82" t="n">
        <x:v>3</x:v>
      </x:c>
      <x:c r="C42" s="82" t="str">
        <x:v>Đầm Ô Loan</x:v>
      </x:c>
      <x:c r="D42" s="82" t="str">
        <x:v>Đầm Ô Loan</x:v>
      </x:c>
      <x:c r="E42" s="82" t="str">
        <x:v>/image/tours/phu-yen-canh-quan-xanh-01.jpg</x:v>
      </x:c>
      <x:c r="F42" s="82" t="str">
        <x:v>LOCAL_ASSET</x:v>
      </x:c>
      <x:c r="G42" s="82" t="str">
        <x:v>Đã chuyển sang ảnh local và đổi tên file theo nội dung.</x:v>
      </x:c>
      <x:c r="H42" s="82" t="str">
        <x:v>Giữ đúng cấu trúc public/images/greensteps khi tích hợp vào dự án.</x:v>
      </x:c>
      <x:c r="I42" s="93" t="str">
        <x:v>https://i.pinimg.com/1200x/c9/81/68/c9816838986e252b85aab71a13f07d8d.jpg</x:v>
      </x:c>
    </x:row>
    <x:row r="43">
      <x:c r="A43" s="82" t="str">
        <x:v>ImageSources</x:v>
      </x:c>
      <x:c r="B43" s="82" t="n">
        <x:v>4</x:v>
      </x:c>
      <x:c r="C43" s="82" t="str">
        <x:v>Mũi Điện</x:v>
      </x:c>
      <x:c r="D43" s="82" t="str">
        <x:v>Mũi Điện</x:v>
      </x:c>
      <x:c r="E43" s="82" t="str">
        <x:v>/image/tours/phu-yen-mui-dien-bai-mon-01.jpg</x:v>
      </x:c>
      <x:c r="F43" s="82" t="str">
        <x:v>LOCAL_ASSET</x:v>
      </x:c>
      <x:c r="G43" s="82" t="str">
        <x:v>Đã chuyển sang ảnh local và đổi tên file theo nội dung.</x:v>
      </x:c>
      <x:c r="H43" s="82" t="str">
        <x:v>Giữ đúng cấu trúc public/images/greensteps khi tích hợp vào dự án.</x:v>
      </x:c>
      <x:c r="I43" s="93" t="str">
        <x:v>https://i.pinimg.com/1200x/a4/54/5a/a4545a58170747ef18d15a28d465bc13.jpg</x:v>
      </x:c>
    </x:row>
    <x:row r="44">
      <x:c r="A44" s="82" t="str">
        <x:v>ImageSources</x:v>
      </x:c>
      <x:c r="B44" s="82" t="n">
        <x:v>5</x:v>
      </x:c>
      <x:c r="C44" s="82" t="str">
        <x:v>Bãi Xép</x:v>
      </x:c>
      <x:c r="D44" s="82" t="str">
        <x:v>Bãi Xép</x:v>
      </x:c>
      <x:c r="E44" s="82" t="str">
        <x:v>/image/tours/phu-yen-bai-xep-checkin-01.jpg</x:v>
      </x:c>
      <x:c r="F44" s="82" t="str">
        <x:v>LOCAL_ASSET</x:v>
      </x:c>
      <x:c r="G44" s="82" t="str">
        <x:v>Đã chuyển sang ảnh local và đổi tên file theo nội dung.</x:v>
      </x:c>
      <x:c r="H44" s="82" t="str">
        <x:v>Giữ đúng cấu trúc public/images/greensteps khi tích hợp vào dự án.</x:v>
      </x:c>
      <x:c r="I44" s="93" t="str">
        <x:v>https://i.pinimg.com/1200x/9b/43/5f/9b435f463cb84aa6065b3c0c44eec4cc.jpg</x:v>
      </x:c>
    </x:row>
    <x:row r="45">
      <x:c r="A45" s="82" t="str">
        <x:v>ImageSources</x:v>
      </x:c>
      <x:c r="B45" s="82" t="n">
        <x:v>6</x:v>
      </x:c>
      <x:c r="C45" s="82" t="str">
        <x:v>Hòn Yến</x:v>
      </x:c>
      <x:c r="D45" s="82" t="str">
        <x:v>Hòn Yến</x:v>
      </x:c>
      <x:c r="E45" s="82" t="str">
        <x:v>/image/tours/phu-yen-bien-trong-01.jpg</x:v>
      </x:c>
      <x:c r="F45" s="82" t="str">
        <x:v>LOCAL_ASSET</x:v>
      </x:c>
      <x:c r="G45" s="82" t="str">
        <x:v>Đã chuyển sang ảnh local và đổi tên file theo nội dung.</x:v>
      </x:c>
      <x:c r="H45" s="82" t="str">
        <x:v>Giữ đúng cấu trúc public/images/greensteps khi tích hợp vào dự án.</x:v>
      </x:c>
      <x:c r="I45" s="93" t="str">
        <x:v>https://i.pinimg.com/736x/3f/87/0e/3f870eb589c0b29dd95402a8acf8cf25.jpg</x:v>
      </x:c>
    </x:row>
    <x:row r="46">
      <x:c r="A46" s="82" t="str">
        <x:v>ImageSources</x:v>
      </x:c>
      <x:c r="B46" s="82" t="n">
        <x:v>7</x:v>
      </x:c>
      <x:c r="C46" s="82" t="str">
        <x:v>Hồ Xuân Hương</x:v>
      </x:c>
      <x:c r="D46" s="82" t="str">
        <x:v>Hồ Xuân Hương</x:v>
      </x:c>
      <x:c r="E46" s="82" t="str">
        <x:v>/image/tours/da-lat-ho-xuan-huong-01.jpg</x:v>
      </x:c>
      <x:c r="F46" s="82" t="str">
        <x:v>LOCAL_ASSET</x:v>
      </x:c>
      <x:c r="G46" s="82" t="str">
        <x:v>Đã chuyển sang ảnh local và đổi tên file theo nội dung.</x:v>
      </x:c>
      <x:c r="H46" s="82" t="str">
        <x:v>Giữ đúng cấu trúc public/images/greensteps khi tích hợp vào dự án.</x:v>
      </x:c>
      <x:c r="I46" s="93" t="str">
        <x:v>https://i.pinimg.com/736x/57/3e/6e/573e6e32477855a7ed566e64e07a4c39.jpg</x:v>
      </x:c>
    </x:row>
    <x:row r="47">
      <x:c r="A47" s="82" t="str">
        <x:v>ImageSources</x:v>
      </x:c>
      <x:c r="B47" s="82" t="n">
        <x:v>8</x:v>
      </x:c>
      <x:c r="C47" s="82" t="str">
        <x:v>Quảng trường Lâm Viên</x:v>
      </x:c>
      <x:c r="D47" s="82" t="str">
        <x:v>Quảng trường Lâm Viên</x:v>
      </x:c>
      <x:c r="E47" s="82" t="str">
        <x:v>/image/tours/da-lat-quang-truong-lam-vien-01.jpg</x:v>
      </x:c>
      <x:c r="F47" s="82" t="str">
        <x:v>LOCAL_ASSET</x:v>
      </x:c>
      <x:c r="G47" s="82" t="str">
        <x:v>Đã chuyển sang ảnh local và đổi tên file theo nội dung.</x:v>
      </x:c>
      <x:c r="H47" s="82" t="str">
        <x:v>Giữ đúng cấu trúc public/images/greensteps khi tích hợp vào dự án.</x:v>
      </x:c>
      <x:c r="I47" s="93" t="str">
        <x:v>https://i.pinimg.com/736x/21/55/8f/21558f3ae0639ac880decc74e24a4f9a.jpg</x:v>
      </x:c>
    </x:row>
    <x:row r="48">
      <x:c r="A48" s="82" t="str">
        <x:v>ImageSources</x:v>
      </x:c>
      <x:c r="B48" s="82" t="n">
        <x:v>9</x:v>
      </x:c>
      <x:c r="C48" s="82" t="str">
        <x:v>Langbiang</x:v>
      </x:c>
      <x:c r="D48" s="82" t="str">
        <x:v>Langbiang</x:v>
      </x:c>
      <x:c r="E48" s="82" t="str">
        <x:v>/image/tours/da-lat-toan-canh-thanh-pho-01.jpg</x:v>
      </x:c>
      <x:c r="F48" s="82" t="str">
        <x:v>LOCAL_ASSET</x:v>
      </x:c>
      <x:c r="G48" s="82" t="str">
        <x:v>Đã chuyển sang ảnh local và đổi tên file theo nội dung.</x:v>
      </x:c>
      <x:c r="H48" s="82" t="str">
        <x:v>Giữ đúng cấu trúc public/images/greensteps khi tích hợp vào dự án.</x:v>
      </x:c>
      <x:c r="I48" s="93" t="str">
        <x:v>https://i.pinimg.com/1200x/ce/2c/ca/ce2ccaa3ae760d552f1f7a765572239f.jpg</x:v>
      </x:c>
    </x:row>
    <x:row r="49">
      <x:c r="A49" s="82" t="str">
        <x:v>ImageSources</x:v>
      </x:c>
      <x:c r="B49" s="82" t="n">
        <x:v>10</x:v>
      </x:c>
      <x:c r="C49" s="82" t="str">
        <x:v>Hồ Tuyền Lâm</x:v>
      </x:c>
      <x:c r="D49" s="82" t="str">
        <x:v>Hồ Tuyền Lâm</x:v>
      </x:c>
      <x:c r="E49" s="82" t="str">
        <x:v>/image/tours/da-lat-ho-tuyen-lam-01.jpg</x:v>
      </x:c>
      <x:c r="F49" s="82" t="str">
        <x:v>LOCAL_ASSET</x:v>
      </x:c>
      <x:c r="G49" s="82" t="str">
        <x:v>Đã chuyển sang ảnh local và đổi tên file theo nội dung.</x:v>
      </x:c>
      <x:c r="H49" s="82" t="str">
        <x:v>Giữ đúng cấu trúc public/images/greensteps khi tích hợp vào dự án.</x:v>
      </x:c>
      <x:c r="I49" s="93" t="str">
        <x:v>https://i.pinimg.com/736x/ea/01/24/ea0124134d5a8203b0be16f2ab14c78b.jpg</x:v>
      </x:c>
    </x:row>
    <x:row r="50">
      <x:c r="A50" s="82" t="str">
        <x:v>ImageSources</x:v>
      </x:c>
      <x:c r="B50" s="82" t="n">
        <x:v>11</x:v>
      </x:c>
      <x:c r="C50" s="82" t="str">
        <x:v>Cầu Đất</x:v>
      </x:c>
      <x:c r="D50" s="82" t="str">
        <x:v>Cầu Đất</x:v>
      </x:c>
      <x:c r="E50" s="82" t="str">
        <x:v>/image/tours/da-lat-rung-thong-san-may-01.jpg</x:v>
      </x:c>
      <x:c r="F50" s="82" t="str">
        <x:v>LOCAL_ASSET</x:v>
      </x:c>
      <x:c r="G50" s="82" t="str">
        <x:v>Đã chuyển sang ảnh local và đổi tên file theo nội dung.</x:v>
      </x:c>
      <x:c r="H50" s="82" t="str">
        <x:v>Giữ đúng cấu trúc public/images/greensteps khi tích hợp vào dự án.</x:v>
      </x:c>
      <x:c r="I50" s="93" t="str">
        <x:v>https://i.pinimg.com/736x/6b/66/2d/6b662d824945ef388197b07d998f8359.jpg</x:v>
      </x:c>
    </x:row>
    <x:row r="51">
      <x:c r="A51" s="82" t="str">
        <x:v>ImageSources</x:v>
      </x:c>
      <x:c r="B51" s="82" t="n">
        <x:v>12</x:v>
      </x:c>
      <x:c r="C51" s="82" t="str">
        <x:v>Cầu Rồng</x:v>
      </x:c>
      <x:c r="D51" s="82" t="str">
        <x:v>Cầu Rồng</x:v>
      </x:c>
      <x:c r="E51" s="82" t="str">
        <x:v>/image/tours/da-nang-cau-rong-hoang-hon-01.jpg</x:v>
      </x:c>
      <x:c r="F51" s="82" t="str">
        <x:v>LOCAL_ASSET</x:v>
      </x:c>
      <x:c r="G51" s="82" t="str">
        <x:v>Đã chuyển sang ảnh local và đổi tên file theo nội dung.</x:v>
      </x:c>
      <x:c r="H51" s="82" t="str">
        <x:v>Giữ đúng cấu trúc public/images/greensteps khi tích hợp vào dự án.</x:v>
      </x:c>
      <x:c r="I51" s="93" t="str">
        <x:v>https://i.pinimg.com/1200x/58/9e/60/589e603ed6614dbf063b018ca1d41044.jpg</x:v>
      </x:c>
    </x:row>
    <x:row r="52">
      <x:c r="A52" s="82" t="str">
        <x:v>ImageSources</x:v>
      </x:c>
      <x:c r="B52" s="82" t="n">
        <x:v>13</x:v>
      </x:c>
      <x:c r="C52" s="82" t="str">
        <x:v>Cầu Vàng</x:v>
      </x:c>
      <x:c r="D52" s="82" t="str">
        <x:v>Cầu Vàng</x:v>
      </x:c>
      <x:c r="E52" s="82" t="str">
        <x:v>/image/tours/da-nang-cau-vang-ba-na-hills-01.jpg</x:v>
      </x:c>
      <x:c r="F52" s="82" t="str">
        <x:v>LOCAL_ASSET</x:v>
      </x:c>
      <x:c r="G52" s="82" t="str">
        <x:v>Đã chuyển sang ảnh local và đổi tên file theo nội dung.</x:v>
      </x:c>
      <x:c r="H52" s="82" t="str">
        <x:v>Giữ đúng cấu trúc public/images/greensteps khi tích hợp vào dự án.</x:v>
      </x:c>
      <x:c r="I52" s="93" t="str">
        <x:v>https://i.pinimg.com/1200x/0f/6e/d5/0f6ed53001e1e7e73eb761f57062f899.jpg</x:v>
      </x:c>
    </x:row>
    <x:row r="53">
      <x:c r="A53" s="82" t="str">
        <x:v>ImageSources</x:v>
      </x:c>
      <x:c r="B53" s="82" t="n">
        <x:v>14</x:v>
      </x:c>
      <x:c r="C53" s="82" t="str">
        <x:v>Hội An</x:v>
      </x:c>
      <x:c r="D53" s="82" t="str">
        <x:v>Hội An</x:v>
      </x:c>
      <x:c r="E53" s="82" t="str">
        <x:v>/image/tours/hoi-an-pho-co-den-long-01.jpg</x:v>
      </x:c>
      <x:c r="F53" s="82" t="str">
        <x:v>LOCAL_ASSET</x:v>
      </x:c>
      <x:c r="G53" s="82" t="str">
        <x:v>Đã chuyển sang ảnh local và đổi tên file theo nội dung.</x:v>
      </x:c>
      <x:c r="H53" s="82" t="str">
        <x:v>Giữ đúng cấu trúc public/images/greensteps khi tích hợp vào dự án.</x:v>
      </x:c>
      <x:c r="I53" s="93" t="str">
        <x:v>https://i.pinimg.com/736x/72/fb/66/72fb66407e9d4bae2baca3d5d6976a50.jpg</x:v>
      </x:c>
    </x:row>
    <x:row r="54">
      <x:c r="A54" s="82" t="str">
        <x:v>ImageSources</x:v>
      </x:c>
      <x:c r="B54" s="82" t="n">
        <x:v>15</x:v>
      </x:c>
      <x:c r="C54" s="82" t="str">
        <x:v>Ngũ Hành Sơn</x:v>
      </x:c>
      <x:c r="D54" s="82" t="str">
        <x:v>Ngũ Hành Sơn</x:v>
      </x:c>
      <x:c r="E54" s="82" t="str">
        <x:v>/image/tours/da-nang-son-tra-rung-xanh-01.jpg</x:v>
      </x:c>
      <x:c r="F54" s="82" t="str">
        <x:v>LOCAL_ASSET</x:v>
      </x:c>
      <x:c r="G54" s="82" t="str">
        <x:v>Đã chuyển sang ảnh local và đổi tên file theo nội dung.</x:v>
      </x:c>
      <x:c r="H54" s="82" t="str">
        <x:v>Giữ đúng cấu trúc public/images/greensteps khi tích hợp vào dự án.</x:v>
      </x:c>
      <x:c r="I54" s="93" t="str">
        <x:v>https://i.pinimg.com/736x/cc/73/e2/cc73e2cbfec31c9331494fe1117b8085.jpg</x:v>
      </x:c>
    </x:row>
    <x:row r="55">
      <x:c r="A55" s="82" t="str">
        <x:v>ImageSources</x:v>
      </x:c>
      <x:c r="B55" s="82" t="n">
        <x:v>16</x:v>
      </x:c>
      <x:c r="C55" s="82" t="str">
        <x:v>Cù Lao Chàm</x:v>
      </x:c>
      <x:c r="D55" s="82" t="str">
        <x:v>Cù Lao Chàm</x:v>
      </x:c>
      <x:c r="E55" s="82" t="str">
        <x:v>/image/tours/da-nang-bien-my-khe-01.jpg</x:v>
      </x:c>
      <x:c r="F55" s="82" t="str">
        <x:v>LOCAL_ASSET</x:v>
      </x:c>
      <x:c r="G55" s="82" t="str">
        <x:v>Đã chuyển sang ảnh local và đổi tên file theo nội dung.</x:v>
      </x:c>
      <x:c r="H55" s="82" t="str">
        <x:v>Giữ đúng cấu trúc public/images/greensteps khi tích hợp vào dự án.</x:v>
      </x:c>
      <x:c r="I55" s="93" t="str">
        <x:v>https://i.pinimg.com/736x/10/45/22/104522e091e22eadc9e27768c42bd6f2.jpg</x:v>
      </x:c>
    </x:row>
  </x:sheetData>
  <x:conditionalFormatting sqref="F2:F55">
    <x:cfRule type="expression" dxfId="3" priority="1">
      <x:formula>F2="OK"</x:formula>
    </x:cfRule>
    <x:cfRule type="expression" dxfId="4" priority="2">
      <x:formula>F2="CHECK"</x:formula>
    </x:cfRule>
    <x:cfRule type="expression" dxfId="5" priority="3">
      <x:formula>F2="MISSING"</x:formula>
    </x:cfRule>
  </x:conditionalFormatting>
  <x:pageMargins left="0.7" right="0.7" top="0.75" bottom="0.75" header="0.3" footer="0.3"/>
</x:worksheet>
</file>

<file path=xl/worksheets/sheet20.xml><?xml version="1.0" encoding="utf-8"?>
<x:worksheet xmlns:x="http://schemas.openxmlformats.org/spreadsheetml/2006/main">
  <x:sheetFormatPr defaultRowHeight="15"/>
  <x:cols>
    <x:col min="1" max="1" width="22" hidden="0" customWidth="1"/>
    <x:col min="2" max="2" width="14" hidden="0" customWidth="1"/>
    <x:col min="3" max="3" width="13" hidden="0" customWidth="1"/>
    <x:col min="4" max="4" width="13" hidden="0" customWidth="1"/>
    <x:col min="5" max="5" width="15" hidden="0" customWidth="1"/>
    <x:col min="6" max="6" width="15" hidden="0" customWidth="1"/>
    <x:col min="7" max="7" width="15" hidden="0" customWidth="1"/>
    <x:col min="8" max="8" width="11" hidden="0" customWidth="1"/>
    <x:col min="9" max="9" width="13" hidden="0" customWidth="1"/>
    <x:col min="10" max="10" width="14" hidden="0" customWidth="1"/>
    <x:col min="11" max="11" width="21" hidden="0" customWidth="1"/>
    <x:col min="12" max="12" width="22" hidden="0" customWidth="1"/>
    <x:col min="13" max="13" width="14" hidden="0" customWidth="1"/>
  </x:cols>
  <x:sheetData>
    <x:row r="1" ht="32" customHeight="1">
      <x:c r="A1" s="158" t="str">
        <x:v>ID_Departure</x:v>
      </x:c>
      <x:c r="B1" s="159" t="str">
        <x:v>ID_Schedule</x:v>
      </x:c>
      <x:c r="C1" s="159" t="str">
        <x:v>start_date</x:v>
      </x:c>
      <x:c r="D1" s="159" t="str">
        <x:v>end_date</x:v>
      </x:c>
      <x:c r="E1" s="159" t="str">
        <x:v>adult_price</x:v>
      </x:c>
      <x:c r="F1" s="159" t="str">
        <x:v>child_price</x:v>
      </x:c>
      <x:c r="G1" s="159" t="str">
        <x:v>infant_price</x:v>
      </x:c>
      <x:c r="H1" s="159" t="str">
        <x:v>capacity</x:v>
      </x:c>
      <x:c r="I1" s="159" t="str">
        <x:v>booked_slots</x:v>
      </x:c>
      <x:c r="J1" s="159" t="str">
        <x:v>available_slots</x:v>
      </x:c>
      <x:c r="K1" s="159" t="str">
        <x:v>booking_cutoff_at</x:v>
      </x:c>
      <x:c r="L1" s="159" t="str">
        <x:v>temporary_hold_minutes</x:v>
      </x:c>
      <x:c r="M1" s="160" t="str">
        <x:v>status</x:v>
      </x:c>
    </x:row>
    <x:row r="2">
      <x:c r="A2" s="161" t="str">
        <x:v>DEP-SCHPY001-01</x:v>
      </x:c>
      <x:c r="B2" s="147" t="str">
        <x:v>SCHPY001</x:v>
      </x:c>
      <x:c r="C2" s="162" t="n">
        <x:v>46238</x:v>
      </x:c>
      <x:c r="D2" s="162" t="n">
        <x:v>46239</x:v>
      </x:c>
      <x:c r="E2" s="163" t="n">
        <x:v>2490000</x:v>
      </x:c>
      <x:c r="F2" s="163" t="n">
        <x:v>1868000</x:v>
      </x:c>
      <x:c r="G2" s="163" t="n">
        <x:v>0</x:v>
      </x:c>
      <x:c r="H2" s="147" t="n">
        <x:v>12</x:v>
      </x:c>
      <x:c r="I2" s="147" t="n">
        <x:v>3</x:v>
      </x:c>
      <x:c r="J2" s="147" t="n">
        <x:f>H2-I2</x:f>
        <x:v>9</x:v>
      </x:c>
      <x:c r="K2" s="164" t="n">
        <x:v>46237.75</x:v>
      </x:c>
      <x:c r="L2" s="147" t="n">
        <x:v>720</x:v>
      </x:c>
      <x:c r="M2" s="165" t="str">
        <x:v>available</x:v>
      </x:c>
    </x:row>
    <x:row r="3">
      <x:c r="A3" s="161" t="str">
        <x:v>DEP-SCHPY001-02</x:v>
      </x:c>
      <x:c r="B3" s="147" t="str">
        <x:v>SCHPY001</x:v>
      </x:c>
      <x:c r="C3" s="162" t="n">
        <x:v>46252</x:v>
      </x:c>
      <x:c r="D3" s="162" t="n">
        <x:v>46253</x:v>
      </x:c>
      <x:c r="E3" s="163" t="n">
        <x:v>2490000</x:v>
      </x:c>
      <x:c r="F3" s="163" t="n">
        <x:v>1868000</x:v>
      </x:c>
      <x:c r="G3" s="163" t="n">
        <x:v>0</x:v>
      </x:c>
      <x:c r="H3" s="147" t="n">
        <x:v>12</x:v>
      </x:c>
      <x:c r="I3" s="147" t="n">
        <x:v>3</x:v>
      </x:c>
      <x:c r="J3" s="147" t="n">
        <x:f>H3-I3</x:f>
        <x:v>9</x:v>
      </x:c>
      <x:c r="K3" s="164" t="n">
        <x:v>46251.75</x:v>
      </x:c>
      <x:c r="L3" s="147" t="n">
        <x:v>720</x:v>
      </x:c>
      <x:c r="M3" s="165" t="str">
        <x:v>available</x:v>
      </x:c>
    </x:row>
    <x:row r="4">
      <x:c r="A4" s="161" t="str">
        <x:v>DEP-SCHPY001-03</x:v>
      </x:c>
      <x:c r="B4" s="147" t="str">
        <x:v>SCHPY001</x:v>
      </x:c>
      <x:c r="C4" s="162" t="n">
        <x:v>46266</x:v>
      </x:c>
      <x:c r="D4" s="162" t="n">
        <x:v>46267</x:v>
      </x:c>
      <x:c r="E4" s="163" t="n">
        <x:v>2490000</x:v>
      </x:c>
      <x:c r="F4" s="163" t="n">
        <x:v>1868000</x:v>
      </x:c>
      <x:c r="G4" s="163" t="n">
        <x:v>0</x:v>
      </x:c>
      <x:c r="H4" s="147" t="n">
        <x:v>12</x:v>
      </x:c>
      <x:c r="I4" s="147" t="n">
        <x:v>3</x:v>
      </x:c>
      <x:c r="J4" s="147" t="n">
        <x:f>H4-I4</x:f>
        <x:v>9</x:v>
      </x:c>
      <x:c r="K4" s="164" t="n">
        <x:v>46265.75</x:v>
      </x:c>
      <x:c r="L4" s="147" t="n">
        <x:v>720</x:v>
      </x:c>
      <x:c r="M4" s="165" t="str">
        <x:v>available</x:v>
      </x:c>
    </x:row>
    <x:row r="5">
      <x:c r="A5" s="161" t="str">
        <x:v>DEP-SCHPY002-01</x:v>
      </x:c>
      <x:c r="B5" s="147" t="str">
        <x:v>SCHPY002</x:v>
      </x:c>
      <x:c r="C5" s="162" t="n">
        <x:v>46262</x:v>
      </x:c>
      <x:c r="D5" s="162" t="n">
        <x:v>46263</x:v>
      </x:c>
      <x:c r="E5" s="163" t="n">
        <x:v>2690000</x:v>
      </x:c>
      <x:c r="F5" s="163" t="n">
        <x:v>2018000</x:v>
      </x:c>
      <x:c r="G5" s="163" t="n">
        <x:v>0</x:v>
      </x:c>
      <x:c r="H5" s="147" t="n">
        <x:v>12</x:v>
      </x:c>
      <x:c r="I5" s="147" t="n">
        <x:v>2</x:v>
      </x:c>
      <x:c r="J5" s="147" t="n">
        <x:f>H5-I5</x:f>
        <x:v>10</x:v>
      </x:c>
      <x:c r="K5" s="164" t="n">
        <x:v>46261.75</x:v>
      </x:c>
      <x:c r="L5" s="147" t="n">
        <x:v>720</x:v>
      </x:c>
      <x:c r="M5" s="165" t="str">
        <x:v>available</x:v>
      </x:c>
    </x:row>
    <x:row r="6">
      <x:c r="A6" s="161" t="str">
        <x:v>DEP-SCHPY002-02</x:v>
      </x:c>
      <x:c r="B6" s="147" t="str">
        <x:v>SCHPY002</x:v>
      </x:c>
      <x:c r="C6" s="162" t="n">
        <x:v>46276</x:v>
      </x:c>
      <x:c r="D6" s="162" t="n">
        <x:v>46277</x:v>
      </x:c>
      <x:c r="E6" s="163" t="n">
        <x:v>2690000</x:v>
      </x:c>
      <x:c r="F6" s="163" t="n">
        <x:v>2018000</x:v>
      </x:c>
      <x:c r="G6" s="163" t="n">
        <x:v>0</x:v>
      </x:c>
      <x:c r="H6" s="147" t="n">
        <x:v>12</x:v>
      </x:c>
      <x:c r="I6" s="147" t="n">
        <x:v>5</x:v>
      </x:c>
      <x:c r="J6" s="147" t="n">
        <x:f>H6-I6</x:f>
        <x:v>7</x:v>
      </x:c>
      <x:c r="K6" s="164" t="n">
        <x:v>46275.75</x:v>
      </x:c>
      <x:c r="L6" s="147" t="n">
        <x:v>720</x:v>
      </x:c>
      <x:c r="M6" s="165" t="str">
        <x:v>available</x:v>
      </x:c>
    </x:row>
    <x:row r="7">
      <x:c r="A7" s="161" t="str">
        <x:v>DEP-SCHPY002-03</x:v>
      </x:c>
      <x:c r="B7" s="147" t="str">
        <x:v>SCHPY002</x:v>
      </x:c>
      <x:c r="C7" s="162" t="n">
        <x:v>46290</x:v>
      </x:c>
      <x:c r="D7" s="162" t="n">
        <x:v>46291</x:v>
      </x:c>
      <x:c r="E7" s="163" t="n">
        <x:v>2690000</x:v>
      </x:c>
      <x:c r="F7" s="163" t="n">
        <x:v>2018000</x:v>
      </x:c>
      <x:c r="G7" s="163" t="n">
        <x:v>0</x:v>
      </x:c>
      <x:c r="H7" s="147" t="n">
        <x:v>12</x:v>
      </x:c>
      <x:c r="I7" s="147" t="n">
        <x:v>1</x:v>
      </x:c>
      <x:c r="J7" s="147" t="n">
        <x:f>H7-I7</x:f>
        <x:v>11</x:v>
      </x:c>
      <x:c r="K7" s="164" t="n">
        <x:v>46289.75</x:v>
      </x:c>
      <x:c r="L7" s="147" t="n">
        <x:v>720</x:v>
      </x:c>
      <x:c r="M7" s="165" t="str">
        <x:v>available</x:v>
      </x:c>
    </x:row>
    <x:row r="8">
      <x:c r="A8" s="161" t="str">
        <x:v>DEP-SCHPY003-01</x:v>
      </x:c>
      <x:c r="B8" s="147" t="str">
        <x:v>SCHPY003</x:v>
      </x:c>
      <x:c r="C8" s="162" t="n">
        <x:v>46275</x:v>
      </x:c>
      <x:c r="D8" s="162" t="n">
        <x:v>46275</x:v>
      </x:c>
      <x:c r="E8" s="163" t="n">
        <x:v>890000</x:v>
      </x:c>
      <x:c r="F8" s="163" t="n">
        <x:v>668000</x:v>
      </x:c>
      <x:c r="G8" s="163" t="n">
        <x:v>0</x:v>
      </x:c>
      <x:c r="H8" s="147" t="n">
        <x:v>12</x:v>
      </x:c>
      <x:c r="I8" s="147" t="n">
        <x:v>2</x:v>
      </x:c>
      <x:c r="J8" s="147" t="n">
        <x:f>H8-I8</x:f>
        <x:v>10</x:v>
      </x:c>
      <x:c r="K8" s="164" t="n">
        <x:v>46274.75</x:v>
      </x:c>
      <x:c r="L8" s="147" t="n">
        <x:v>720</x:v>
      </x:c>
      <x:c r="M8" s="165" t="str">
        <x:v>available</x:v>
      </x:c>
    </x:row>
    <x:row r="9">
      <x:c r="A9" s="161" t="str">
        <x:v>DEP-SCHPY003-02</x:v>
      </x:c>
      <x:c r="B9" s="147" t="str">
        <x:v>SCHPY003</x:v>
      </x:c>
      <x:c r="C9" s="162" t="n">
        <x:v>46289</x:v>
      </x:c>
      <x:c r="D9" s="162" t="n">
        <x:v>46289</x:v>
      </x:c>
      <x:c r="E9" s="163" t="n">
        <x:v>890000</x:v>
      </x:c>
      <x:c r="F9" s="163" t="n">
        <x:v>668000</x:v>
      </x:c>
      <x:c r="G9" s="163" t="n">
        <x:v>0</x:v>
      </x:c>
      <x:c r="H9" s="147" t="n">
        <x:v>12</x:v>
      </x:c>
      <x:c r="I9" s="147" t="n">
        <x:v>1</x:v>
      </x:c>
      <x:c r="J9" s="147" t="n">
        <x:f>H9-I9</x:f>
        <x:v>11</x:v>
      </x:c>
      <x:c r="K9" s="164" t="n">
        <x:v>46288.75</x:v>
      </x:c>
      <x:c r="L9" s="147" t="n">
        <x:v>720</x:v>
      </x:c>
      <x:c r="M9" s="165" t="str">
        <x:v>available</x:v>
      </x:c>
    </x:row>
    <x:row r="10">
      <x:c r="A10" s="161" t="str">
        <x:v>DEP-SCHPY003-03</x:v>
      </x:c>
      <x:c r="B10" s="147" t="str">
        <x:v>SCHPY003</x:v>
      </x:c>
      <x:c r="C10" s="162" t="n">
        <x:v>46303</x:v>
      </x:c>
      <x:c r="D10" s="162" t="n">
        <x:v>46303</x:v>
      </x:c>
      <x:c r="E10" s="163" t="n">
        <x:v>890000</x:v>
      </x:c>
      <x:c r="F10" s="163" t="n">
        <x:v>668000</x:v>
      </x:c>
      <x:c r="G10" s="163" t="n">
        <x:v>0</x:v>
      </x:c>
      <x:c r="H10" s="147" t="n">
        <x:v>12</x:v>
      </x:c>
      <x:c r="I10" s="147" t="n">
        <x:v>4</x:v>
      </x:c>
      <x:c r="J10" s="147" t="n">
        <x:f>H10-I10</x:f>
        <x:v>8</x:v>
      </x:c>
      <x:c r="K10" s="164" t="n">
        <x:v>46302.75</x:v>
      </x:c>
      <x:c r="L10" s="147" t="n">
        <x:v>720</x:v>
      </x:c>
      <x:c r="M10" s="165" t="str">
        <x:v>available</x:v>
      </x:c>
    </x:row>
    <x:row r="11">
      <x:c r="A11" s="161" t="str">
        <x:v>DEP-SCHPY004-01</x:v>
      </x:c>
      <x:c r="B11" s="147" t="str">
        <x:v>SCHPY004</x:v>
      </x:c>
      <x:c r="C11" s="162" t="n">
        <x:v>46252</x:v>
      </x:c>
      <x:c r="D11" s="162" t="n">
        <x:v>46254</x:v>
      </x:c>
      <x:c r="E11" s="163" t="n">
        <x:v>4590000</x:v>
      </x:c>
      <x:c r="F11" s="163" t="n">
        <x:v>3442000</x:v>
      </x:c>
      <x:c r="G11" s="163" t="n">
        <x:v>0</x:v>
      </x:c>
      <x:c r="H11" s="147" t="n">
        <x:v>10</x:v>
      </x:c>
      <x:c r="I11" s="147" t="n">
        <x:v>2</x:v>
      </x:c>
      <x:c r="J11" s="147" t="n">
        <x:f>H11-I11</x:f>
        <x:v>8</x:v>
      </x:c>
      <x:c r="K11" s="164" t="n">
        <x:v>46251.75</x:v>
      </x:c>
      <x:c r="L11" s="147" t="n">
        <x:v>720</x:v>
      </x:c>
      <x:c r="M11" s="165" t="str">
        <x:v>available</x:v>
      </x:c>
    </x:row>
    <x:row r="12">
      <x:c r="A12" s="161" t="str">
        <x:v>DEP-SCHPY004-02</x:v>
      </x:c>
      <x:c r="B12" s="147" t="str">
        <x:v>SCHPY004</x:v>
      </x:c>
      <x:c r="C12" s="162" t="n">
        <x:v>46266</x:v>
      </x:c>
      <x:c r="D12" s="162" t="n">
        <x:v>46268</x:v>
      </x:c>
      <x:c r="E12" s="163" t="n">
        <x:v>4590000</x:v>
      </x:c>
      <x:c r="F12" s="163" t="n">
        <x:v>3442000</x:v>
      </x:c>
      <x:c r="G12" s="163" t="n">
        <x:v>0</x:v>
      </x:c>
      <x:c r="H12" s="147" t="n">
        <x:v>10</x:v>
      </x:c>
      <x:c r="I12" s="147" t="n">
        <x:v>3</x:v>
      </x:c>
      <x:c r="J12" s="147" t="n">
        <x:f>H12-I12</x:f>
        <x:v>7</x:v>
      </x:c>
      <x:c r="K12" s="164" t="n">
        <x:v>46265.75</x:v>
      </x:c>
      <x:c r="L12" s="147" t="n">
        <x:v>720</x:v>
      </x:c>
      <x:c r="M12" s="165" t="str">
        <x:v>available</x:v>
      </x:c>
    </x:row>
    <x:row r="13">
      <x:c r="A13" s="161" t="str">
        <x:v>DEP-SCHPY004-03</x:v>
      </x:c>
      <x:c r="B13" s="147" t="str">
        <x:v>SCHPY004</x:v>
      </x:c>
      <x:c r="C13" s="162" t="n">
        <x:v>46280</x:v>
      </x:c>
      <x:c r="D13" s="162" t="n">
        <x:v>46282</x:v>
      </x:c>
      <x:c r="E13" s="163" t="n">
        <x:v>4590000</x:v>
      </x:c>
      <x:c r="F13" s="163" t="n">
        <x:v>3442000</x:v>
      </x:c>
      <x:c r="G13" s="163" t="n">
        <x:v>0</x:v>
      </x:c>
      <x:c r="H13" s="147" t="n">
        <x:v>10</x:v>
      </x:c>
      <x:c r="I13" s="147" t="n">
        <x:v>2</x:v>
      </x:c>
      <x:c r="J13" s="147" t="n">
        <x:f>H13-I13</x:f>
        <x:v>8</x:v>
      </x:c>
      <x:c r="K13" s="164" t="n">
        <x:v>46279.75</x:v>
      </x:c>
      <x:c r="L13" s="147" t="n">
        <x:v>720</x:v>
      </x:c>
      <x:c r="M13" s="165" t="str">
        <x:v>available</x:v>
      </x:c>
    </x:row>
    <x:row r="14">
      <x:c r="A14" s="161" t="str">
        <x:v>DEP-SCHDL005-01</x:v>
      </x:c>
      <x:c r="B14" s="147" t="str">
        <x:v>SCHDL005</x:v>
      </x:c>
      <x:c r="C14" s="162" t="n">
        <x:v>46235</x:v>
      </x:c>
      <x:c r="D14" s="162" t="n">
        <x:v>46235</x:v>
      </x:c>
      <x:c r="E14" s="163" t="n">
        <x:v>790000</x:v>
      </x:c>
      <x:c r="F14" s="163" t="n">
        <x:v>592000</x:v>
      </x:c>
      <x:c r="G14" s="163" t="n">
        <x:v>0</x:v>
      </x:c>
      <x:c r="H14" s="147" t="n">
        <x:v>12</x:v>
      </x:c>
      <x:c r="I14" s="147" t="n">
        <x:v>2</x:v>
      </x:c>
      <x:c r="J14" s="147" t="n">
        <x:f>H14-I14</x:f>
        <x:v>10</x:v>
      </x:c>
      <x:c r="K14" s="164" t="n">
        <x:v>46234.75</x:v>
      </x:c>
      <x:c r="L14" s="147" t="n">
        <x:v>720</x:v>
      </x:c>
      <x:c r="M14" s="165" t="str">
        <x:v>available</x:v>
      </x:c>
    </x:row>
    <x:row r="15">
      <x:c r="A15" s="161" t="str">
        <x:v>DEP-SCHDL005-02</x:v>
      </x:c>
      <x:c r="B15" s="147" t="str">
        <x:v>SCHDL005</x:v>
      </x:c>
      <x:c r="C15" s="162" t="n">
        <x:v>46249</x:v>
      </x:c>
      <x:c r="D15" s="162" t="n">
        <x:v>46249</x:v>
      </x:c>
      <x:c r="E15" s="163" t="n">
        <x:v>790000</x:v>
      </x:c>
      <x:c r="F15" s="163" t="n">
        <x:v>592000</x:v>
      </x:c>
      <x:c r="G15" s="163" t="n">
        <x:v>0</x:v>
      </x:c>
      <x:c r="H15" s="147" t="n">
        <x:v>12</x:v>
      </x:c>
      <x:c r="I15" s="147" t="n">
        <x:v>5</x:v>
      </x:c>
      <x:c r="J15" s="147" t="n">
        <x:f>H15-I15</x:f>
        <x:v>7</x:v>
      </x:c>
      <x:c r="K15" s="164" t="n">
        <x:v>46248.75</x:v>
      </x:c>
      <x:c r="L15" s="147" t="n">
        <x:v>720</x:v>
      </x:c>
      <x:c r="M15" s="165" t="str">
        <x:v>available</x:v>
      </x:c>
    </x:row>
    <x:row r="16">
      <x:c r="A16" s="161" t="str">
        <x:v>DEP-SCHDL005-03</x:v>
      </x:c>
      <x:c r="B16" s="147" t="str">
        <x:v>SCHDL005</x:v>
      </x:c>
      <x:c r="C16" s="162" t="n">
        <x:v>46263</x:v>
      </x:c>
      <x:c r="D16" s="162" t="n">
        <x:v>46263</x:v>
      </x:c>
      <x:c r="E16" s="163" t="n">
        <x:v>790000</x:v>
      </x:c>
      <x:c r="F16" s="163" t="n">
        <x:v>592000</x:v>
      </x:c>
      <x:c r="G16" s="163" t="n">
        <x:v>0</x:v>
      </x:c>
      <x:c r="H16" s="147" t="n">
        <x:v>12</x:v>
      </x:c>
      <x:c r="I16" s="147" t="n">
        <x:v>0</x:v>
      </x:c>
      <x:c r="J16" s="147" t="n">
        <x:f>H16-I16</x:f>
        <x:v>12</x:v>
      </x:c>
      <x:c r="K16" s="164" t="n">
        <x:v>46262.75</x:v>
      </x:c>
      <x:c r="L16" s="147" t="n">
        <x:v>720</x:v>
      </x:c>
      <x:c r="M16" s="165" t="str">
        <x:v>available</x:v>
      </x:c>
    </x:row>
    <x:row r="17">
      <x:c r="A17" s="161" t="str">
        <x:v>DEP-SCHDL006-01</x:v>
      </x:c>
      <x:c r="B17" s="147" t="str">
        <x:v>SCHDL006</x:v>
      </x:c>
      <x:c r="C17" s="162" t="n">
        <x:v>46267</x:v>
      </x:c>
      <x:c r="D17" s="162" t="n">
        <x:v>46268</x:v>
      </x:c>
      <x:c r="E17" s="163" t="n">
        <x:v>2590000</x:v>
      </x:c>
      <x:c r="F17" s="163" t="n">
        <x:v>1942000</x:v>
      </x:c>
      <x:c r="G17" s="163" t="n">
        <x:v>0</x:v>
      </x:c>
      <x:c r="H17" s="147" t="n">
        <x:v>12</x:v>
      </x:c>
      <x:c r="I17" s="147" t="n">
        <x:v>2</x:v>
      </x:c>
      <x:c r="J17" s="147" t="n">
        <x:f>H17-I17</x:f>
        <x:v>10</x:v>
      </x:c>
      <x:c r="K17" s="164" t="n">
        <x:v>46266.75</x:v>
      </x:c>
      <x:c r="L17" s="147" t="n">
        <x:v>720</x:v>
      </x:c>
      <x:c r="M17" s="165" t="str">
        <x:v>available</x:v>
      </x:c>
    </x:row>
    <x:row r="18">
      <x:c r="A18" s="161" t="str">
        <x:v>DEP-SCHDL006-02</x:v>
      </x:c>
      <x:c r="B18" s="147" t="str">
        <x:v>SCHDL006</x:v>
      </x:c>
      <x:c r="C18" s="162" t="n">
        <x:v>46281</x:v>
      </x:c>
      <x:c r="D18" s="162" t="n">
        <x:v>46282</x:v>
      </x:c>
      <x:c r="E18" s="163" t="n">
        <x:v>2590000</x:v>
      </x:c>
      <x:c r="F18" s="163" t="n">
        <x:v>1942000</x:v>
      </x:c>
      <x:c r="G18" s="163" t="n">
        <x:v>0</x:v>
      </x:c>
      <x:c r="H18" s="147" t="n">
        <x:v>12</x:v>
      </x:c>
      <x:c r="I18" s="147" t="n">
        <x:v>1</x:v>
      </x:c>
      <x:c r="J18" s="147" t="n">
        <x:f>H18-I18</x:f>
        <x:v>11</x:v>
      </x:c>
      <x:c r="K18" s="164" t="n">
        <x:v>46280.75</x:v>
      </x:c>
      <x:c r="L18" s="147" t="n">
        <x:v>720</x:v>
      </x:c>
      <x:c r="M18" s="165" t="str">
        <x:v>available</x:v>
      </x:c>
    </x:row>
    <x:row r="19">
      <x:c r="A19" s="161" t="str">
        <x:v>DEP-SCHDL006-03</x:v>
      </x:c>
      <x:c r="B19" s="147" t="str">
        <x:v>SCHDL006</x:v>
      </x:c>
      <x:c r="C19" s="162" t="n">
        <x:v>46295</x:v>
      </x:c>
      <x:c r="D19" s="162" t="n">
        <x:v>46296</x:v>
      </x:c>
      <x:c r="E19" s="163" t="n">
        <x:v>2590000</x:v>
      </x:c>
      <x:c r="F19" s="163" t="n">
        <x:v>1942000</x:v>
      </x:c>
      <x:c r="G19" s="163" t="n">
        <x:v>0</x:v>
      </x:c>
      <x:c r="H19" s="147" t="n">
        <x:v>12</x:v>
      </x:c>
      <x:c r="I19" s="147" t="n">
        <x:v>3</x:v>
      </x:c>
      <x:c r="J19" s="147" t="n">
        <x:f>H19-I19</x:f>
        <x:v>9</x:v>
      </x:c>
      <x:c r="K19" s="164" t="n">
        <x:v>46294.75</x:v>
      </x:c>
      <x:c r="L19" s="147" t="n">
        <x:v>720</x:v>
      </x:c>
      <x:c r="M19" s="165" t="str">
        <x:v>available</x:v>
      </x:c>
    </x:row>
    <x:row r="20">
      <x:c r="A20" s="161" t="str">
        <x:v>DEP-SCHDL007-01</x:v>
      </x:c>
      <x:c r="B20" s="147" t="str">
        <x:v>SCHDL007</x:v>
      </x:c>
      <x:c r="C20" s="162" t="n">
        <x:v>46255</x:v>
      </x:c>
      <x:c r="D20" s="162" t="n">
        <x:v>46256</x:v>
      </x:c>
      <x:c r="E20" s="163" t="n">
        <x:v>2790000</x:v>
      </x:c>
      <x:c r="F20" s="163" t="n">
        <x:v>2092000</x:v>
      </x:c>
      <x:c r="G20" s="163" t="n">
        <x:v>0</x:v>
      </x:c>
      <x:c r="H20" s="147" t="n">
        <x:v>12</x:v>
      </x:c>
      <x:c r="I20" s="147" t="n">
        <x:v>2</x:v>
      </x:c>
      <x:c r="J20" s="147" t="n">
        <x:f>H20-I20</x:f>
        <x:v>10</x:v>
      </x:c>
      <x:c r="K20" s="164" t="n">
        <x:v>46254.75</x:v>
      </x:c>
      <x:c r="L20" s="147" t="n">
        <x:v>720</x:v>
      </x:c>
      <x:c r="M20" s="165" t="str">
        <x:v>available</x:v>
      </x:c>
    </x:row>
    <x:row r="21">
      <x:c r="A21" s="161" t="str">
        <x:v>DEP-SCHDL007-02</x:v>
      </x:c>
      <x:c r="B21" s="147" t="str">
        <x:v>SCHDL007</x:v>
      </x:c>
      <x:c r="C21" s="162" t="n">
        <x:v>46269</x:v>
      </x:c>
      <x:c r="D21" s="162" t="n">
        <x:v>46270</x:v>
      </x:c>
      <x:c r="E21" s="163" t="n">
        <x:v>2790000</x:v>
      </x:c>
      <x:c r="F21" s="163" t="n">
        <x:v>2092000</x:v>
      </x:c>
      <x:c r="G21" s="163" t="n">
        <x:v>0</x:v>
      </x:c>
      <x:c r="H21" s="147" t="n">
        <x:v>12</x:v>
      </x:c>
      <x:c r="I21" s="147" t="n">
        <x:v>3</x:v>
      </x:c>
      <x:c r="J21" s="147" t="n">
        <x:f>H21-I21</x:f>
        <x:v>9</x:v>
      </x:c>
      <x:c r="K21" s="164" t="n">
        <x:v>46268.75</x:v>
      </x:c>
      <x:c r="L21" s="147" t="n">
        <x:v>720</x:v>
      </x:c>
      <x:c r="M21" s="165" t="str">
        <x:v>available</x:v>
      </x:c>
    </x:row>
    <x:row r="22">
      <x:c r="A22" s="161" t="str">
        <x:v>DEP-SCHDL007-03</x:v>
      </x:c>
      <x:c r="B22" s="147" t="str">
        <x:v>SCHDL007</x:v>
      </x:c>
      <x:c r="C22" s="162" t="n">
        <x:v>46283</x:v>
      </x:c>
      <x:c r="D22" s="162" t="n">
        <x:v>46284</x:v>
      </x:c>
      <x:c r="E22" s="163" t="n">
        <x:v>2790000</x:v>
      </x:c>
      <x:c r="F22" s="163" t="n">
        <x:v>2092000</x:v>
      </x:c>
      <x:c r="G22" s="163" t="n">
        <x:v>0</x:v>
      </x:c>
      <x:c r="H22" s="147" t="n">
        <x:v>12</x:v>
      </x:c>
      <x:c r="I22" s="147" t="n">
        <x:v>1</x:v>
      </x:c>
      <x:c r="J22" s="147" t="n">
        <x:f>H22-I22</x:f>
        <x:v>11</x:v>
      </x:c>
      <x:c r="K22" s="164" t="n">
        <x:v>46282.75</x:v>
      </x:c>
      <x:c r="L22" s="147" t="n">
        <x:v>720</x:v>
      </x:c>
      <x:c r="M22" s="165" t="str">
        <x:v>available</x:v>
      </x:c>
    </x:row>
    <x:row r="23">
      <x:c r="A23" s="161" t="str">
        <x:v>DEP-SCHDL008-01</x:v>
      </x:c>
      <x:c r="B23" s="147" t="str">
        <x:v>SCHDL008</x:v>
      </x:c>
      <x:c r="C23" s="162" t="n">
        <x:v>46277</x:v>
      </x:c>
      <x:c r="D23" s="162" t="n">
        <x:v>46278</x:v>
      </x:c>
      <x:c r="E23" s="163" t="n">
        <x:v>2490000</x:v>
      </x:c>
      <x:c r="F23" s="163" t="n">
        <x:v>1868000</x:v>
      </x:c>
      <x:c r="G23" s="163" t="n">
        <x:v>0</x:v>
      </x:c>
      <x:c r="H23" s="147" t="n">
        <x:v>12</x:v>
      </x:c>
      <x:c r="I23" s="147" t="n">
        <x:v>4</x:v>
      </x:c>
      <x:c r="J23" s="147" t="n">
        <x:f>H23-I23</x:f>
        <x:v>8</x:v>
      </x:c>
      <x:c r="K23" s="164" t="n">
        <x:v>46276.75</x:v>
      </x:c>
      <x:c r="L23" s="147" t="n">
        <x:v>720</x:v>
      </x:c>
      <x:c r="M23" s="165" t="str">
        <x:v>available</x:v>
      </x:c>
    </x:row>
    <x:row r="24">
      <x:c r="A24" s="161" t="str">
        <x:v>DEP-SCHDL008-02</x:v>
      </x:c>
      <x:c r="B24" s="147" t="str">
        <x:v>SCHDL008</x:v>
      </x:c>
      <x:c r="C24" s="162" t="n">
        <x:v>46291</x:v>
      </x:c>
      <x:c r="D24" s="162" t="n">
        <x:v>46292</x:v>
      </x:c>
      <x:c r="E24" s="163" t="n">
        <x:v>2490000</x:v>
      </x:c>
      <x:c r="F24" s="163" t="n">
        <x:v>1868000</x:v>
      </x:c>
      <x:c r="G24" s="163" t="n">
        <x:v>0</x:v>
      </x:c>
      <x:c r="H24" s="147" t="n">
        <x:v>12</x:v>
      </x:c>
      <x:c r="I24" s="147" t="n">
        <x:v>5</x:v>
      </x:c>
      <x:c r="J24" s="147" t="n">
        <x:f>H24-I24</x:f>
        <x:v>7</x:v>
      </x:c>
      <x:c r="K24" s="164" t="n">
        <x:v>46290.75</x:v>
      </x:c>
      <x:c r="L24" s="147" t="n">
        <x:v>720</x:v>
      </x:c>
      <x:c r="M24" s="165" t="str">
        <x:v>available</x:v>
      </x:c>
    </x:row>
    <x:row r="25">
      <x:c r="A25" s="161" t="str">
        <x:v>DEP-SCHDL008-03</x:v>
      </x:c>
      <x:c r="B25" s="147" t="str">
        <x:v>SCHDL008</x:v>
      </x:c>
      <x:c r="C25" s="162" t="n">
        <x:v>46305</x:v>
      </x:c>
      <x:c r="D25" s="162" t="n">
        <x:v>46306</x:v>
      </x:c>
      <x:c r="E25" s="163" t="n">
        <x:v>2490000</x:v>
      </x:c>
      <x:c r="F25" s="163" t="n">
        <x:v>1868000</x:v>
      </x:c>
      <x:c r="G25" s="163" t="n">
        <x:v>0</x:v>
      </x:c>
      <x:c r="H25" s="147" t="n">
        <x:v>12</x:v>
      </x:c>
      <x:c r="I25" s="147" t="n">
        <x:v>4</x:v>
      </x:c>
      <x:c r="J25" s="147" t="n">
        <x:f>H25-I25</x:f>
        <x:v>8</x:v>
      </x:c>
      <x:c r="K25" s="164" t="n">
        <x:v>46304.75</x:v>
      </x:c>
      <x:c r="L25" s="147" t="n">
        <x:v>720</x:v>
      </x:c>
      <x:c r="M25" s="165" t="str">
        <x:v>available</x:v>
      </x:c>
    </x:row>
    <x:row r="26">
      <x:c r="A26" s="161" t="str">
        <x:v>DEP-SCHDN009-01</x:v>
      </x:c>
      <x:c r="B26" s="147" t="str">
        <x:v>SCHDN009</x:v>
      </x:c>
      <x:c r="C26" s="162" t="n">
        <x:v>46259</x:v>
      </x:c>
      <x:c r="D26" s="162" t="n">
        <x:v>46260</x:v>
      </x:c>
      <x:c r="E26" s="163" t="n">
        <x:v>2990000</x:v>
      </x:c>
      <x:c r="F26" s="163" t="n">
        <x:v>2242000</x:v>
      </x:c>
      <x:c r="G26" s="163" t="n">
        <x:v>0</x:v>
      </x:c>
      <x:c r="H26" s="147" t="n">
        <x:v>12</x:v>
      </x:c>
      <x:c r="I26" s="147" t="n">
        <x:v>3</x:v>
      </x:c>
      <x:c r="J26" s="147" t="n">
        <x:f>H26-I26</x:f>
        <x:v>9</x:v>
      </x:c>
      <x:c r="K26" s="164" t="n">
        <x:v>46258.75</x:v>
      </x:c>
      <x:c r="L26" s="147" t="n">
        <x:v>720</x:v>
      </x:c>
      <x:c r="M26" s="165" t="str">
        <x:v>available</x:v>
      </x:c>
    </x:row>
    <x:row r="27">
      <x:c r="A27" s="161" t="str">
        <x:v>DEP-SCHDN009-02</x:v>
      </x:c>
      <x:c r="B27" s="147" t="str">
        <x:v>SCHDN009</x:v>
      </x:c>
      <x:c r="C27" s="162" t="n">
        <x:v>46273</x:v>
      </x:c>
      <x:c r="D27" s="162" t="n">
        <x:v>46274</x:v>
      </x:c>
      <x:c r="E27" s="163" t="n">
        <x:v>2990000</x:v>
      </x:c>
      <x:c r="F27" s="163" t="n">
        <x:v>2242000</x:v>
      </x:c>
      <x:c r="G27" s="163" t="n">
        <x:v>0</x:v>
      </x:c>
      <x:c r="H27" s="147" t="n">
        <x:v>12</x:v>
      </x:c>
      <x:c r="I27" s="147" t="n">
        <x:v>1</x:v>
      </x:c>
      <x:c r="J27" s="147" t="n">
        <x:f>H27-I27</x:f>
        <x:v>11</x:v>
      </x:c>
      <x:c r="K27" s="164" t="n">
        <x:v>46272.75</x:v>
      </x:c>
      <x:c r="L27" s="147" t="n">
        <x:v>720</x:v>
      </x:c>
      <x:c r="M27" s="165" t="str">
        <x:v>available</x:v>
      </x:c>
    </x:row>
    <x:row r="28">
      <x:c r="A28" s="161" t="str">
        <x:v>DEP-SCHDN009-03</x:v>
      </x:c>
      <x:c r="B28" s="147" t="str">
        <x:v>SCHDN009</x:v>
      </x:c>
      <x:c r="C28" s="162" t="n">
        <x:v>46287</x:v>
      </x:c>
      <x:c r="D28" s="162" t="n">
        <x:v>46288</x:v>
      </x:c>
      <x:c r="E28" s="163" t="n">
        <x:v>2990000</x:v>
      </x:c>
      <x:c r="F28" s="163" t="n">
        <x:v>2242000</x:v>
      </x:c>
      <x:c r="G28" s="163" t="n">
        <x:v>0</x:v>
      </x:c>
      <x:c r="H28" s="147" t="n">
        <x:v>12</x:v>
      </x:c>
      <x:c r="I28" s="147" t="n">
        <x:v>2</x:v>
      </x:c>
      <x:c r="J28" s="147" t="n">
        <x:f>H28-I28</x:f>
        <x:v>10</x:v>
      </x:c>
      <x:c r="K28" s="164" t="n">
        <x:v>46286.75</x:v>
      </x:c>
      <x:c r="L28" s="147" t="n">
        <x:v>720</x:v>
      </x:c>
      <x:c r="M28" s="165" t="str">
        <x:v>available</x:v>
      </x:c>
    </x:row>
    <x:row r="29">
      <x:c r="A29" s="161" t="str">
        <x:v>DEP-SCHDN010-01</x:v>
      </x:c>
      <x:c r="B29" s="147" t="str">
        <x:v>SCHDN010</x:v>
      </x:c>
      <x:c r="C29" s="162" t="n">
        <x:v>46249</x:v>
      </x:c>
      <x:c r="D29" s="162" t="n">
        <x:v>46249</x:v>
      </x:c>
      <x:c r="E29" s="163" t="n">
        <x:v>1590000</x:v>
      </x:c>
      <x:c r="F29" s="163" t="n">
        <x:v>1192000</x:v>
      </x:c>
      <x:c r="G29" s="163" t="n">
        <x:v>0</x:v>
      </x:c>
      <x:c r="H29" s="147" t="n">
        <x:v>12</x:v>
      </x:c>
      <x:c r="I29" s="147" t="n">
        <x:v>4</x:v>
      </x:c>
      <x:c r="J29" s="147" t="n">
        <x:f>H29-I29</x:f>
        <x:v>8</x:v>
      </x:c>
      <x:c r="K29" s="164" t="n">
        <x:v>46248.75</x:v>
      </x:c>
      <x:c r="L29" s="147" t="n">
        <x:v>720</x:v>
      </x:c>
      <x:c r="M29" s="165" t="str">
        <x:v>available</x:v>
      </x:c>
    </x:row>
    <x:row r="30">
      <x:c r="A30" s="161" t="str">
        <x:v>DEP-SCHDN010-02</x:v>
      </x:c>
      <x:c r="B30" s="147" t="str">
        <x:v>SCHDN010</x:v>
      </x:c>
      <x:c r="C30" s="162" t="n">
        <x:v>46263</x:v>
      </x:c>
      <x:c r="D30" s="162" t="n">
        <x:v>46263</x:v>
      </x:c>
      <x:c r="E30" s="163" t="n">
        <x:v>1590000</x:v>
      </x:c>
      <x:c r="F30" s="163" t="n">
        <x:v>1192000</x:v>
      </x:c>
      <x:c r="G30" s="163" t="n">
        <x:v>0</x:v>
      </x:c>
      <x:c r="H30" s="147" t="n">
        <x:v>12</x:v>
      </x:c>
      <x:c r="I30" s="147" t="n">
        <x:v>3</x:v>
      </x:c>
      <x:c r="J30" s="147" t="n">
        <x:f>H30-I30</x:f>
        <x:v>9</x:v>
      </x:c>
      <x:c r="K30" s="164" t="n">
        <x:v>46262.75</x:v>
      </x:c>
      <x:c r="L30" s="147" t="n">
        <x:v>720</x:v>
      </x:c>
      <x:c r="M30" s="165" t="str">
        <x:v>available</x:v>
      </x:c>
    </x:row>
    <x:row r="31">
      <x:c r="A31" s="161" t="str">
        <x:v>DEP-SCHDN010-03</x:v>
      </x:c>
      <x:c r="B31" s="147" t="str">
        <x:v>SCHDN010</x:v>
      </x:c>
      <x:c r="C31" s="162" t="n">
        <x:v>46277</x:v>
      </x:c>
      <x:c r="D31" s="162" t="n">
        <x:v>46277</x:v>
      </x:c>
      <x:c r="E31" s="163" t="n">
        <x:v>1590000</x:v>
      </x:c>
      <x:c r="F31" s="163" t="n">
        <x:v>1192000</x:v>
      </x:c>
      <x:c r="G31" s="163" t="n">
        <x:v>0</x:v>
      </x:c>
      <x:c r="H31" s="147" t="n">
        <x:v>12</x:v>
      </x:c>
      <x:c r="I31" s="147" t="n">
        <x:v>0</x:v>
      </x:c>
      <x:c r="J31" s="147" t="n">
        <x:f>H31-I31</x:f>
        <x:v>12</x:v>
      </x:c>
      <x:c r="K31" s="164" t="n">
        <x:v>46276.75</x:v>
      </x:c>
      <x:c r="L31" s="147" t="n">
        <x:v>720</x:v>
      </x:c>
      <x:c r="M31" s="165" t="str">
        <x:v>available</x:v>
      </x:c>
    </x:row>
    <x:row r="32">
      <x:c r="A32" s="161" t="str">
        <x:v>DEP-SCHHA011-01</x:v>
      </x:c>
      <x:c r="B32" s="147" t="str">
        <x:v>SCHHA011</x:v>
      </x:c>
      <x:c r="C32" s="162" t="n">
        <x:v>46243</x:v>
      </x:c>
      <x:c r="D32" s="162" t="n">
        <x:v>46244</x:v>
      </x:c>
      <x:c r="E32" s="163" t="n">
        <x:v>3290000</x:v>
      </x:c>
      <x:c r="F32" s="163" t="n">
        <x:v>2468000</x:v>
      </x:c>
      <x:c r="G32" s="163" t="n">
        <x:v>0</x:v>
      </x:c>
      <x:c r="H32" s="147" t="n">
        <x:v>12</x:v>
      </x:c>
      <x:c r="I32" s="147" t="n">
        <x:v>2</x:v>
      </x:c>
      <x:c r="J32" s="147" t="n">
        <x:f>H32-I32</x:f>
        <x:v>10</x:v>
      </x:c>
      <x:c r="K32" s="164" t="n">
        <x:v>46242.75</x:v>
      </x:c>
      <x:c r="L32" s="147" t="n">
        <x:v>720</x:v>
      </x:c>
      <x:c r="M32" s="165" t="str">
        <x:v>available</x:v>
      </x:c>
    </x:row>
    <x:row r="33">
      <x:c r="A33" s="161" t="str">
        <x:v>DEP-SCHHA011-02</x:v>
      </x:c>
      <x:c r="B33" s="147" t="str">
        <x:v>SCHHA011</x:v>
      </x:c>
      <x:c r="C33" s="162" t="n">
        <x:v>46257</x:v>
      </x:c>
      <x:c r="D33" s="162" t="n">
        <x:v>46258</x:v>
      </x:c>
      <x:c r="E33" s="163" t="n">
        <x:v>3290000</x:v>
      </x:c>
      <x:c r="F33" s="163" t="n">
        <x:v>2468000</x:v>
      </x:c>
      <x:c r="G33" s="163" t="n">
        <x:v>0</x:v>
      </x:c>
      <x:c r="H33" s="147" t="n">
        <x:v>12</x:v>
      </x:c>
      <x:c r="I33" s="147" t="n">
        <x:v>5</x:v>
      </x:c>
      <x:c r="J33" s="147" t="n">
        <x:f>H33-I33</x:f>
        <x:v>7</x:v>
      </x:c>
      <x:c r="K33" s="164" t="n">
        <x:v>46256.75</x:v>
      </x:c>
      <x:c r="L33" s="147" t="n">
        <x:v>720</x:v>
      </x:c>
      <x:c r="M33" s="165" t="str">
        <x:v>available</x:v>
      </x:c>
    </x:row>
    <x:row r="34">
      <x:c r="A34" s="161" t="str">
        <x:v>DEP-SCHHA011-03</x:v>
      </x:c>
      <x:c r="B34" s="147" t="str">
        <x:v>SCHHA011</x:v>
      </x:c>
      <x:c r="C34" s="162" t="n">
        <x:v>46271</x:v>
      </x:c>
      <x:c r="D34" s="162" t="n">
        <x:v>46272</x:v>
      </x:c>
      <x:c r="E34" s="163" t="n">
        <x:v>3290000</x:v>
      </x:c>
      <x:c r="F34" s="163" t="n">
        <x:v>2468000</x:v>
      </x:c>
      <x:c r="G34" s="163" t="n">
        <x:v>0</x:v>
      </x:c>
      <x:c r="H34" s="147" t="n">
        <x:v>12</x:v>
      </x:c>
      <x:c r="I34" s="147" t="n">
        <x:v>3</x:v>
      </x:c>
      <x:c r="J34" s="147" t="n">
        <x:f>H34-I34</x:f>
        <x:v>9</x:v>
      </x:c>
      <x:c r="K34" s="164" t="n">
        <x:v>46270.75</x:v>
      </x:c>
      <x:c r="L34" s="147" t="n">
        <x:v>720</x:v>
      </x:c>
      <x:c r="M34" s="165" t="str">
        <x:v>available</x:v>
      </x:c>
    </x:row>
    <x:row r="35">
      <x:c r="A35" s="161" t="str">
        <x:v>DEP-SCHHA012-01</x:v>
      </x:c>
      <x:c r="B35" s="147" t="str">
        <x:v>SCHHA012</x:v>
      </x:c>
      <x:c r="C35" s="162" t="n">
        <x:v>46271</x:v>
      </x:c>
      <x:c r="D35" s="162" t="n">
        <x:v>46273</x:v>
      </x:c>
      <x:c r="E35" s="163" t="n">
        <x:v>5790000</x:v>
      </x:c>
      <x:c r="F35" s="163" t="n">
        <x:v>4342000</x:v>
      </x:c>
      <x:c r="G35" s="163" t="n">
        <x:v>0</x:v>
      </x:c>
      <x:c r="H35" s="147" t="n">
        <x:v>10</x:v>
      </x:c>
      <x:c r="I35" s="147" t="n">
        <x:v>2</x:v>
      </x:c>
      <x:c r="J35" s="147" t="n">
        <x:f>H35-I35</x:f>
        <x:v>8</x:v>
      </x:c>
      <x:c r="K35" s="164" t="n">
        <x:v>46270.75</x:v>
      </x:c>
      <x:c r="L35" s="147" t="n">
        <x:v>720</x:v>
      </x:c>
      <x:c r="M35" s="165" t="str">
        <x:v>available</x:v>
      </x:c>
    </x:row>
    <x:row r="36">
      <x:c r="A36" s="161" t="str">
        <x:v>DEP-SCHHA012-02</x:v>
      </x:c>
      <x:c r="B36" s="147" t="str">
        <x:v>SCHHA012</x:v>
      </x:c>
      <x:c r="C36" s="162" t="n">
        <x:v>46285</x:v>
      </x:c>
      <x:c r="D36" s="162" t="n">
        <x:v>46287</x:v>
      </x:c>
      <x:c r="E36" s="163" t="n">
        <x:v>5790000</x:v>
      </x:c>
      <x:c r="F36" s="163" t="n">
        <x:v>4342000</x:v>
      </x:c>
      <x:c r="G36" s="163" t="n">
        <x:v>0</x:v>
      </x:c>
      <x:c r="H36" s="147" t="n">
        <x:v>10</x:v>
      </x:c>
      <x:c r="I36" s="147" t="n">
        <x:v>1</x:v>
      </x:c>
      <x:c r="J36" s="147" t="n">
        <x:f>H36-I36</x:f>
        <x:v>9</x:v>
      </x:c>
      <x:c r="K36" s="164" t="n">
        <x:v>46284.75</x:v>
      </x:c>
      <x:c r="L36" s="147" t="n">
        <x:v>720</x:v>
      </x:c>
      <x:c r="M36" s="165" t="str">
        <x:v>available</x:v>
      </x:c>
    </x:row>
    <x:row r="37">
      <x:c r="A37" s="166" t="str">
        <x:v>DEP-SCHHA012-03</x:v>
      </x:c>
      <x:c r="B37" s="167" t="str">
        <x:v>SCHHA012</x:v>
      </x:c>
      <x:c r="C37" s="168" t="n">
        <x:v>46299</x:v>
      </x:c>
      <x:c r="D37" s="168" t="n">
        <x:v>46301</x:v>
      </x:c>
      <x:c r="E37" s="169" t="n">
        <x:v>5790000</x:v>
      </x:c>
      <x:c r="F37" s="169" t="n">
        <x:v>4342000</x:v>
      </x:c>
      <x:c r="G37" s="169" t="n">
        <x:v>0</x:v>
      </x:c>
      <x:c r="H37" s="167" t="n">
        <x:v>10</x:v>
      </x:c>
      <x:c r="I37" s="167" t="n">
        <x:v>1</x:v>
      </x:c>
      <x:c r="J37" s="167" t="n">
        <x:f>H37-I37</x:f>
        <x:v>9</x:v>
      </x:c>
      <x:c r="K37" s="170" t="n">
        <x:v>46298.75</x:v>
      </x:c>
      <x:c r="L37" s="167" t="n">
        <x:v>720</x:v>
      </x:c>
      <x:c r="M37" s="171" t="str">
        <x:v>available</x:v>
      </x:c>
    </x:row>
  </x:sheetData>
  <x:conditionalFormatting sqref="J2:J37">
    <x:cfRule type="dataBar" priority="1">
      <x:dataBar>
        <x:cfvo type="min"/>
        <x:cfvo type="max"/>
        <x:color rgb="FF2A9D6F"/>
      </x:dataBar>
      <x:extLst>
        <x:ext xmlns:x14="http://schemas.microsoft.com/office/spreadsheetml/2009/9/main" uri="{B025F937-C7B1-47D3-B67F-A62EFF666E3E}">
          <x14:id>{3594451F-AAF8-BCBB-327A-00F0DFDA80A3}</x14:id>
        </x:ext>
      </x:extLst>
    </x:cfRule>
  </x:conditionalFormatting>
  <x:dataValidations count="1">
    <x:dataValidation type="list" sqref="M2:M37">
      <x:formula1>"available,full,closed,cancelled"</x:formula1>
    </x:dataValidation>
  </x:dataValidations>
  <x:pageMargins left="0.7" right="0.7" top="0.75" bottom="0.75" header="0.3" footer="0.3"/>
  <x:tableParts count="1">
    <x:tablePart xmlns:r="http://schemas.openxmlformats.org/officeDocument/2006/relationships" r:id="Rf06a93c6311149de"/>
  </x:tableParts>
  <x:extLst>
    <x:ext xmlns:x14="http://schemas.microsoft.com/office/spreadsheetml/2009/9/main" xmlns:xm="http://schemas.microsoft.com/office/excel/2006/main" uri="{78C0D931-6437-407d-A8EE-F0AAD7539E65}">
      <x14:conditionalFormattings>
        <x14:conditionalFormatting>
          <x14:cfRule type="dataBar" priority="1" id="{3594451F-AAF8-BCBB-327A-00F0DFDA80A3}">
            <x14:dataBar gradient="1">
              <x14:cfvo type="min"/>
              <x14:cfvo type="max"/>
              <x14:fillColor rgb="FF2A9D6F"/>
            </x14:dataBar>
          </x14:cfRule>
          <xm:sqref>J2:J37</xm:sqref>
        </x14:conditionalFormatting>
      </x14:conditionalFormattings>
    </x:ext>
  </x:extLst>
</x:worksheet>
</file>

<file path=xl/worksheets/sheet21.xml><?xml version="1.0" encoding="utf-8"?>
<x:worksheet xmlns:x="http://schemas.openxmlformats.org/spreadsheetml/2006/main">
  <x:sheetFormatPr defaultRowHeight="15"/>
  <x:cols>
    <x:col min="1" max="1" width="20" hidden="0" customWidth="1"/>
    <x:col min="2" max="2" width="14" hidden="0" customWidth="1"/>
    <x:col min="3" max="3" width="48" hidden="0" customWidth="1"/>
    <x:col min="4" max="4" width="16" hidden="0" customWidth="1"/>
    <x:col min="5" max="5" width="12" hidden="0" customWidth="1"/>
    <x:col min="6" max="6" width="10" hidden="0" customWidth="1"/>
    <x:col min="7" max="7" width="42" hidden="0" customWidth="1"/>
    <x:col min="8" max="8" width="48" hidden="0" customWidth="1"/>
    <x:col min="9" max="9" width="48" hidden="0" customWidth="1"/>
    <x:col min="10" max="10" width="18" hidden="0" customWidth="1"/>
    <x:col min="11" max="11" width="48" hidden="0" customWidth="1"/>
  </x:cols>
  <x:sheetData>
    <x:row r="1" ht="32" customHeight="1">
      <x:c r="A1" s="158" t="str">
        <x:v>ID_Image</x:v>
      </x:c>
      <x:c r="B1" s="159" t="str">
        <x:v>ID_Schedule</x:v>
      </x:c>
      <x:c r="C1" s="159" t="str">
        <x:v>image_url</x:v>
      </x:c>
      <x:c r="D1" s="159" t="str">
        <x:v>image_formula</x:v>
      </x:c>
      <x:c r="E1" s="159" t="str">
        <x:v>image_type</x:v>
      </x:c>
      <x:c r="F1" s="159" t="str">
        <x:v>sort_order</x:v>
      </x:c>
      <x:c r="G1" s="159" t="str">
        <x:v>alt_text</x:v>
      </x:c>
      <x:c r="H1" s="159" t="str">
        <x:v>source_page</x:v>
      </x:c>
      <x:c r="I1" s="159" t="str">
        <x:v>source_note</x:v>
      </x:c>
      <x:c r="J1" s="160" t="str">
        <x:v>usage_status</x:v>
      </x:c>
      <x:c r="K1" s="207" t="str">
        <x:v>original_image_url</x:v>
      </x:c>
    </x:row>
    <x:row r="2">
      <x:c r="A2" s="161" t="str">
        <x:v>IMG-SCHPY001-01</x:v>
      </x:c>
      <x:c r="B2" s="147" t="str">
        <x:v>SCHPY001</x:v>
      </x:c>
      <x:c r="C2" s="147" t="str">
        <x:v>/image/tours/phu-yen-bai-da-ven-bien-01.jpg</x:v>
      </x:c>
      <x:c r="D2" s="147"/>
      <x:c r="E2" s="147" t="str">
        <x:v>cover</x:v>
      </x:c>
      <x:c r="F2" s="147" t="n">
        <x:v>1</x:v>
      </x:c>
      <x:c r="G2" s="147" t="str">
        <x:v>Phú Yên xanh: Gành Đá Đĩa - Đầm Ô Loan – Phú Yên xanh: Gành Đá Đĩa - Đầm Ô Loan</x:v>
      </x:c>
      <x:c r="H2" s="147" t="str">
        <x:v>/image/tours/phu-yen-bai-da-ven-bien-01.jpg</x:v>
      </x:c>
      <x:c r="I2" s="147" t="str">
        <x:v>Ảnh local nằm trong frontend/public/image/tours; CSDL chỉ lưu URL bắt đầu bằng /image/tours/.</x:v>
      </x:c>
      <x:c r="J2" s="127" t="str">
        <x:v>local_asset</x:v>
      </x:c>
      <x:c r="K2" s="93" t="str">
        <x:v>https://i.pinimg.com/736x/60/9c/ef/609cefb4e490debd1ea140b6e21be7bc.jpg</x:v>
      </x:c>
    </x:row>
    <x:row r="3">
      <x:c r="A3" s="161" t="str">
        <x:v>IMG-SCHPY001-02</x:v>
      </x:c>
      <x:c r="B3" s="147" t="str">
        <x:v>SCHPY001</x:v>
      </x:c>
      <x:c r="C3" s="147" t="str">
        <x:v>/image/tours/phu-yen-canh-quan-xanh-01.jpg</x:v>
      </x:c>
      <x:c r="D3" s="147"/>
      <x:c r="E3" s="147" t="str">
        <x:v>gallery</x:v>
      </x:c>
      <x:c r="F3" s="147" t="n">
        <x:v>2</x:v>
      </x:c>
      <x:c r="G3" s="147" t="str">
        <x:v>Xe điện nhóm nhỏ Tuy Hòa - Tuy An – Phú Yên xanh: Gành Đá Đĩa - Đầm Ô Loan</x:v>
      </x:c>
      <x:c r="H3" s="147" t="str">
        <x:v>/image/tours/phu-yen-canh-quan-xanh-01.jpg</x:v>
      </x:c>
      <x:c r="I3" s="147" t="str">
        <x:v>Ảnh local nằm trong frontend/public/image/tours; CSDL chỉ lưu URL bắt đầu bằng /image/tours/.</x:v>
      </x:c>
      <x:c r="J3" s="127" t="str">
        <x:v>local_asset</x:v>
      </x:c>
      <x:c r="K3" s="93" t="str">
        <x:v>https://i.pinimg.com/736x/12/3f/f2/123ff25efda490eb4228ebea787f66cd.jpg</x:v>
      </x:c>
    </x:row>
    <x:row r="4">
      <x:c r="A4" s="161" t="str">
        <x:v>IMG-SCHPY001-03</x:v>
      </x:c>
      <x:c r="B4" s="147" t="str">
        <x:v>SCHPY001</x:v>
      </x:c>
      <x:c r="C4" s="147" t="str">
        <x:v>/image/tours/phu-yen-lang-chai-vung-ro-01.jpg</x:v>
      </x:c>
      <x:c r="D4" s="147"/>
      <x:c r="E4" s="147" t="str">
        <x:v>gallery</x:v>
      </x:c>
      <x:c r="F4" s="147" t="n">
        <x:v>3</x:v>
      </x:c>
      <x:c r="G4" s="147" t="str">
        <x:v>Bữa hải sản đầm Ô Loan không nhựa dùng một lần – Phú Yên xanh: Gành Đá Đĩa - Đầm Ô Loan</x:v>
      </x:c>
      <x:c r="H4" s="147" t="str">
        <x:v>/image/tours/phu-yen-lang-chai-vung-ro-01.jpg</x:v>
      </x:c>
      <x:c r="I4" s="147" t="str">
        <x:v>Ảnh local nằm trong frontend/public/image/tours; CSDL chỉ lưu URL bắt đầu bằng /image/tours/.</x:v>
      </x:c>
      <x:c r="J4" s="127" t="str">
        <x:v>local_asset</x:v>
      </x:c>
      <x:c r="K4" s="93" t="str">
        <x:v>https://i.pinimg.com/1200x/c9/81/68/c9816838986e252b85aab71a13f07d8d.jpg</x:v>
      </x:c>
    </x:row>
    <x:row r="5">
      <x:c r="A5" s="161" t="str">
        <x:v>IMG-SCHPY001-04</x:v>
      </x:c>
      <x:c r="B5" s="147" t="str">
        <x:v>SCHPY001</x:v>
      </x:c>
      <x:c r="C5" s="147" t="str">
        <x:v>/image/tours/phu-yen-bai-xep-checkin-01.jpg</x:v>
      </x:c>
      <x:c r="D5" s="147"/>
      <x:c r="E5" s="147" t="str">
        <x:v>gallery</x:v>
      </x:c>
      <x:c r="F5" s="147" t="n">
        <x:v>4</x:v>
      </x:c>
      <x:c r="G5" s="147" t="str">
        <x:v>Trekking nhẹ Bãi Xép - Ghềnh Ông – Phú Yên xanh: Gành Đá Đĩa - Đầm Ô Loan</x:v>
      </x:c>
      <x:c r="H5" s="147" t="str">
        <x:v>/image/tours/phu-yen-bai-xep-checkin-01.jpg</x:v>
      </x:c>
      <x:c r="I5" s="147" t="str">
        <x:v>Ảnh local nằm trong frontend/public/image/tours; CSDL chỉ lưu URL bắt đầu bằng /image/tours/.</x:v>
      </x:c>
      <x:c r="J5" s="127" t="str">
        <x:v>local_asset</x:v>
      </x:c>
      <x:c r="K5" s="93" t="str">
        <x:v>https://i.pinimg.com/1200x/9b/43/5f/9b435f463cb84aa6065b3c0c44eec4cc.jpg</x:v>
      </x:c>
    </x:row>
    <x:row r="6">
      <x:c r="A6" s="161" t="str">
        <x:v>IMG-SCHPY001-05</x:v>
      </x:c>
      <x:c r="B6" s="147" t="str">
        <x:v>SCHPY001</x:v>
      </x:c>
      <x:c r="C6" s="147" t="str">
        <x:v>/image/tours/phu-yen-thap-nghinh-phong-01.jpg</x:v>
      </x:c>
      <x:c r="D6" s="147"/>
      <x:c r="E6" s="147" t="str">
        <x:v>gallery</x:v>
      </x:c>
      <x:c r="F6" s="147" t="n">
        <x:v>5</x:v>
      </x:c>
      <x:c r="G6" s="147" t="str">
        <x:v>Check-in Hải đăng Mũi Điện - Bãi Môn – Phú Yên xanh: Gành Đá Đĩa - Đầm Ô Loan</x:v>
      </x:c>
      <x:c r="H6" s="147" t="str">
        <x:v>/image/tours/phu-yen-thap-nghinh-phong-01.jpg</x:v>
      </x:c>
      <x:c r="I6" s="147" t="str">
        <x:v>Ảnh local nằm trong frontend/public/image/tours; CSDL chỉ lưu URL bắt đầu bằng /image/tours/.</x:v>
      </x:c>
      <x:c r="J6" s="127" t="str">
        <x:v>local_asset</x:v>
      </x:c>
      <x:c r="K6" s="93" t="str">
        <x:v>https://i.pinimg.com/1200x/a4/54/5a/a4545a58170747ef18d15a28d465bc13.jpg</x:v>
      </x:c>
    </x:row>
    <x:row r="7">
      <x:c r="A7" s="161" t="str">
        <x:v>IMG-SCHPY001-06</x:v>
      </x:c>
      <x:c r="B7" s="147" t="str">
        <x:v>SCHPY001</x:v>
      </x:c>
      <x:c r="C7" s="147" t="str">
        <x:v>/image/tours/phu-yen-duong-ven-bien-01.jpg</x:v>
      </x:c>
      <x:c r="D7" s="147"/>
      <x:c r="E7" s="147" t="str">
        <x:v>gallery</x:v>
      </x:c>
      <x:c r="F7" s="147" t="n">
        <x:v>6</x:v>
      </x:c>
      <x:c r="G7" s="147" t="str">
        <x:v>Ngắm san hô Hòn Yến khi thủy triều xuống – Phú Yên xanh: Gành Đá Đĩa - Đầm Ô Loan</x:v>
      </x:c>
      <x:c r="H7" s="147" t="str">
        <x:v>/image/tours/phu-yen-duong-ven-bien-01.jpg</x:v>
      </x:c>
      <x:c r="I7" s="147" t="str">
        <x:v>Ảnh local nằm trong frontend/public/image/tours; CSDL chỉ lưu URL bắt đầu bằng /image/tours/.</x:v>
      </x:c>
      <x:c r="J7" s="127" t="str">
        <x:v>local_asset</x:v>
      </x:c>
      <x:c r="K7" s="93" t="str">
        <x:v>https://i.pinimg.com/736x/3f/87/0e/3f870eb589c0b29dd95402a8acf8cf25.jpg</x:v>
      </x:c>
    </x:row>
    <x:row r="8">
      <x:c r="A8" s="161" t="str">
        <x:v>IMG-SCHPY002-01</x:v>
      </x:c>
      <x:c r="B8" s="147" t="str">
        <x:v>SCHPY002</x:v>
      </x:c>
      <x:c r="C8" s="147" t="str">
        <x:v>/image/tours/phu-yen-mui-dien-bai-mon-01.jpg</x:v>
      </x:c>
      <x:c r="D8" s="147"/>
      <x:c r="E8" s="147" t="str">
        <x:v>cover</x:v>
      </x:c>
      <x:c r="F8" s="147" t="n">
        <x:v>1</x:v>
      </x:c>
      <x:c r="G8" s="147" t="str">
        <x:v>Bình minh Mũi Điện - Bãi Môn - Vũng Rô – Bình minh Mũi Điện - Bãi Môn - Vũng Rô</x:v>
      </x:c>
      <x:c r="H8" s="147" t="str">
        <x:v>/image/tours/phu-yen-mui-dien-bai-mon-01.jpg</x:v>
      </x:c>
      <x:c r="I8" s="147" t="str">
        <x:v>Ảnh local nằm trong frontend/public/image/tours; CSDL chỉ lưu URL bắt đầu bằng /image/tours/.</x:v>
      </x:c>
      <x:c r="J8" s="127" t="str">
        <x:v>local_asset</x:v>
      </x:c>
      <x:c r="K8" s="93" t="str">
        <x:v>https://i.pinimg.com/736x/1e/18/72/1e1872a16860e1d8c33c060f422dbd0c.jpg</x:v>
      </x:c>
    </x:row>
    <x:row r="9">
      <x:c r="A9" s="161" t="str">
        <x:v>IMG-SCHPY002-02</x:v>
      </x:c>
      <x:c r="B9" s="147" t="str">
        <x:v>SCHPY002</x:v>
      </x:c>
      <x:c r="C9" s="147" t="str">
        <x:v>/image/tours/phu-yen-duong-ven-bien-01.jpg</x:v>
      </x:c>
      <x:c r="D9" s="147"/>
      <x:c r="E9" s="147" t="str">
        <x:v>gallery</x:v>
      </x:c>
      <x:c r="F9" s="147" t="n">
        <x:v>2</x:v>
      </x:c>
      <x:c r="G9" s="147" t="str">
        <x:v>Check-in Hải đăng Mũi Điện - Bãi Môn – Bình minh Mũi Điện - Bãi Môn - Vũng Rô</x:v>
      </x:c>
      <x:c r="H9" s="147" t="str">
        <x:v>/image/tours/phu-yen-duong-ven-bien-01.jpg</x:v>
      </x:c>
      <x:c r="I9" s="147" t="str">
        <x:v>Ảnh local nằm trong frontend/public/image/tours; CSDL chỉ lưu URL bắt đầu bằng /image/tours/.</x:v>
      </x:c>
      <x:c r="J9" s="127" t="str">
        <x:v>local_asset</x:v>
      </x:c>
      <x:c r="K9" s="93" t="str">
        <x:v>https://i.pinimg.com/1200x/a4/54/5a/a4545a58170747ef18d15a28d465bc13.jpg</x:v>
      </x:c>
    </x:row>
    <x:row r="10">
      <x:c r="A10" s="161" t="str">
        <x:v>IMG-SCHPY002-03</x:v>
      </x:c>
      <x:c r="B10" s="147" t="str">
        <x:v>SCHPY002</x:v>
      </x:c>
      <x:c r="C10" s="147" t="str">
        <x:v>/image/tours/phu-yen-bai-bien-dua-01.jpg</x:v>
      </x:c>
      <x:c r="D10" s="147"/>
      <x:c r="E10" s="147" t="str">
        <x:v>gallery</x:v>
      </x:c>
      <x:c r="F10" s="147" t="n">
        <x:v>3</x:v>
      </x:c>
      <x:c r="G10" s="147" t="str">
        <x:v>Homestay làng chài Hòn Yến giảm nhựa – Bình minh Mũi Điện - Bãi Môn - Vũng Rô</x:v>
      </x:c>
      <x:c r="H10" s="147" t="str">
        <x:v>/image/tours/phu-yen-bai-bien-dua-01.jpg</x:v>
      </x:c>
      <x:c r="I10" s="147" t="str">
        <x:v>Ảnh local nằm trong frontend/public/image/tours; CSDL chỉ lưu URL bắt đầu bằng /image/tours/.</x:v>
      </x:c>
      <x:c r="J10" s="127" t="str">
        <x:v>local_asset</x:v>
      </x:c>
      <x:c r="K10" s="93" t="str">
        <x:v>https://i.pinimg.com/736x/e2/4f/59/e24f591500b16e994a8055892f2a7b52.jpg</x:v>
      </x:c>
    </x:row>
    <x:row r="11">
      <x:c r="A11" s="161" t="str">
        <x:v>IMG-SCHPY002-04</x:v>
      </x:c>
      <x:c r="B11" s="147" t="str">
        <x:v>SCHPY002</x:v>
      </x:c>
      <x:c r="C11" s="147" t="str">
        <x:v>/image/tours/phu-yen-lang-chai-vung-ro-01.jpg</x:v>
      </x:c>
      <x:c r="D11" s="147"/>
      <x:c r="E11" s="147" t="str">
        <x:v>gallery</x:v>
      </x:c>
      <x:c r="F11" s="147" t="n">
        <x:v>4</x:v>
      </x:c>
      <x:c r="G11" s="147" t="str">
        <x:v>Bữa hải sản đầm Ô Loan không nhựa dùng một lần – Bình minh Mũi Điện - Bãi Môn - Vũng Rô</x:v>
      </x:c>
      <x:c r="H11" s="147" t="str">
        <x:v>/image/tours/phu-yen-lang-chai-vung-ro-01.jpg</x:v>
      </x:c>
      <x:c r="I11" s="147" t="str">
        <x:v>Ảnh local nằm trong frontend/public/image/tours; CSDL chỉ lưu URL bắt đầu bằng /image/tours/.</x:v>
      </x:c>
      <x:c r="J11" s="127" t="str">
        <x:v>local_asset</x:v>
      </x:c>
      <x:c r="K11" s="93" t="str">
        <x:v>https://i.pinimg.com/1200x/c9/81/68/c9816838986e252b85aab71a13f07d8d.jpg</x:v>
      </x:c>
    </x:row>
    <x:row r="12">
      <x:c r="A12" s="161" t="str">
        <x:v>IMG-SCHPY002-05</x:v>
      </x:c>
      <x:c r="B12" s="147" t="str">
        <x:v>SCHPY002</x:v>
      </x:c>
      <x:c r="C12" s="147" t="str">
        <x:v>/image/tours/phu-yen-checkin-ven-bien-01.jpg</x:v>
      </x:c>
      <x:c r="D12" s="147"/>
      <x:c r="E12" s="147" t="str">
        <x:v>gallery</x:v>
      </x:c>
      <x:c r="F12" s="147" t="n">
        <x:v>5</x:v>
      </x:c>
      <x:c r="G12" s="147" t="str">
        <x:v>Xe điện nhóm nhỏ Tuy Hòa - Tuy An – Bình minh Mũi Điện - Bãi Môn - Vũng Rô</x:v>
      </x:c>
      <x:c r="H12" s="147" t="str">
        <x:v>/image/tours/phu-yen-checkin-ven-bien-01.jpg</x:v>
      </x:c>
      <x:c r="I12" s="147" t="str">
        <x:v>Ảnh local nằm trong frontend/public/image/tours; CSDL chỉ lưu URL bắt đầu bằng /image/tours/.</x:v>
      </x:c>
      <x:c r="J12" s="127" t="str">
        <x:v>local_asset</x:v>
      </x:c>
      <x:c r="K12" s="93" t="str">
        <x:v>https://i.pinimg.com/736x/12/3f/f2/123ff25efda490eb4228ebea787f66cd.jpg</x:v>
      </x:c>
    </x:row>
    <x:row r="13">
      <x:c r="A13" s="161" t="str">
        <x:v>IMG-SCHPY002-06</x:v>
      </x:c>
      <x:c r="B13" s="147" t="str">
        <x:v>SCHPY002</x:v>
      </x:c>
      <x:c r="C13" s="147" t="str">
        <x:v>/image/tours/phu-yen-bien-trong-01.jpg</x:v>
      </x:c>
      <x:c r="D13" s="147"/>
      <x:c r="E13" s="147" t="str">
        <x:v>gallery</x:v>
      </x:c>
      <x:c r="F13" s="147" t="n">
        <x:v>6</x:v>
      </x:c>
      <x:c r="G13" s="147" t="str">
        <x:v>Vé tham quan Gành Đá Đĩa – Bình minh Mũi Điện - Bãi Môn - Vũng Rô</x:v>
      </x:c>
      <x:c r="H13" s="147" t="str">
        <x:v>/image/tours/phu-yen-bien-trong-01.jpg</x:v>
      </x:c>
      <x:c r="I13" s="147" t="str">
        <x:v>Ảnh local nằm trong frontend/public/image/tours; CSDL chỉ lưu URL bắt đầu bằng /image/tours/.</x:v>
      </x:c>
      <x:c r="J13" s="127" t="str">
        <x:v>local_asset</x:v>
      </x:c>
      <x:c r="K13" s="93" t="str">
        <x:v>https://i.pinimg.com/736x/60/9c/ef/609cefb4e490debd1ea140b6e21be7bc.jpg</x:v>
      </x:c>
    </x:row>
    <x:row r="14">
      <x:c r="A14" s="161" t="str">
        <x:v>IMG-SCHPY003-01</x:v>
      </x:c>
      <x:c r="B14" s="147" t="str">
        <x:v>SCHPY003</x:v>
      </x:c>
      <x:c r="C14" s="147" t="str">
        <x:v>/image/tours/phu-yen-bai-xep-checkin-01.jpg</x:v>
      </x:c>
      <x:c r="D14" s="147"/>
      <x:c r="E14" s="147" t="str">
        <x:v>cover</x:v>
      </x:c>
      <x:c r="F14" s="147" t="n">
        <x:v>1</x:v>
      </x:c>
      <x:c r="G14" s="147" t="str">
        <x:v>Bãi Xép - Ghềnh Ông - Tháp Nhạn 1 ngày – Bãi Xép - Ghềnh Ông - Tháp Nhạn 1 ngày</x:v>
      </x:c>
      <x:c r="H14" s="147" t="str">
        <x:v>/image/tours/phu-yen-bai-xep-checkin-01.jpg</x:v>
      </x:c>
      <x:c r="I14" s="147" t="str">
        <x:v>Ảnh local nằm trong frontend/public/image/tours; CSDL chỉ lưu URL bắt đầu bằng /image/tours/.</x:v>
      </x:c>
      <x:c r="J14" s="127" t="str">
        <x:v>local_asset</x:v>
      </x:c>
      <x:c r="K14" s="93" t="str">
        <x:v>https://i.pinimg.com/1200x/53/36/64/533664d17c0a350a076c252ee010e5a6.jpg</x:v>
      </x:c>
    </x:row>
    <x:row r="15">
      <x:c r="A15" s="161" t="str">
        <x:v>IMG-SCHPY003-02</x:v>
      </x:c>
      <x:c r="B15" s="147" t="str">
        <x:v>SCHPY003</x:v>
      </x:c>
      <x:c r="C15" s="147" t="str">
        <x:v>/image/tours/phu-yen-thap-nghinh-phong-01.jpg</x:v>
      </x:c>
      <x:c r="D15" s="147"/>
      <x:c r="E15" s="147" t="str">
        <x:v>gallery</x:v>
      </x:c>
      <x:c r="F15" s="147" t="n">
        <x:v>2</x:v>
      </x:c>
      <x:c r="G15" s="147" t="str">
        <x:v>Trekking nhẹ Bãi Xép - Ghềnh Ông – Bãi Xép - Ghềnh Ông - Tháp Nhạn 1 ngày</x:v>
      </x:c>
      <x:c r="H15" s="147" t="str">
        <x:v>/image/tours/phu-yen-thap-nghinh-phong-01.jpg</x:v>
      </x:c>
      <x:c r="I15" s="147" t="str">
        <x:v>Ảnh local nằm trong frontend/public/image/tours; CSDL chỉ lưu URL bắt đầu bằng /image/tours/.</x:v>
      </x:c>
      <x:c r="J15" s="127" t="str">
        <x:v>local_asset</x:v>
      </x:c>
      <x:c r="K15" s="93" t="str">
        <x:v>https://i.pinimg.com/1200x/9b/43/5f/9b435f463cb84aa6065b3c0c44eec4cc.jpg</x:v>
      </x:c>
    </x:row>
    <x:row r="16">
      <x:c r="A16" s="161" t="str">
        <x:v>IMG-SCHPY003-03</x:v>
      </x:c>
      <x:c r="B16" s="147" t="str">
        <x:v>SCHPY003</x:v>
      </x:c>
      <x:c r="C16" s="147" t="str">
        <x:v>/image/tours/phu-yen-checkin-ven-bien-01.jpg</x:v>
      </x:c>
      <x:c r="D16" s="147"/>
      <x:c r="E16" s="147" t="str">
        <x:v>gallery</x:v>
      </x:c>
      <x:c r="F16" s="147" t="n">
        <x:v>3</x:v>
      </x:c>
      <x:c r="G16" s="147" t="str">
        <x:v>Xe điện nhóm nhỏ Tuy Hòa - Tuy An – Bãi Xép - Ghềnh Ông - Tháp Nhạn 1 ngày</x:v>
      </x:c>
      <x:c r="H16" s="147" t="str">
        <x:v>/image/tours/phu-yen-checkin-ven-bien-01.jpg</x:v>
      </x:c>
      <x:c r="I16" s="147" t="str">
        <x:v>Ảnh local nằm trong frontend/public/image/tours; CSDL chỉ lưu URL bắt đầu bằng /image/tours/.</x:v>
      </x:c>
      <x:c r="J16" s="127" t="str">
        <x:v>local_asset</x:v>
      </x:c>
      <x:c r="K16" s="93" t="str">
        <x:v>https://i.pinimg.com/736x/12/3f/f2/123ff25efda490eb4228ebea787f66cd.jpg</x:v>
      </x:c>
    </x:row>
    <x:row r="17">
      <x:c r="A17" s="161" t="str">
        <x:v>IMG-SCHPY003-04</x:v>
      </x:c>
      <x:c r="B17" s="147" t="str">
        <x:v>SCHPY003</x:v>
      </x:c>
      <x:c r="C17" s="147" t="str">
        <x:v>/image/tours/phu-yen-duong-ven-bien-01.jpg</x:v>
      </x:c>
      <x:c r="D17" s="147"/>
      <x:c r="E17" s="147" t="str">
        <x:v>gallery</x:v>
      </x:c>
      <x:c r="F17" s="147" t="n">
        <x:v>4</x:v>
      </x:c>
      <x:c r="G17" s="147" t="str">
        <x:v>Vé tham quan Gành Đá Đĩa – Bãi Xép - Ghềnh Ông - Tháp Nhạn 1 ngày</x:v>
      </x:c>
      <x:c r="H17" s="147" t="str">
        <x:v>/image/tours/phu-yen-duong-ven-bien-01.jpg</x:v>
      </x:c>
      <x:c r="I17" s="147" t="str">
        <x:v>Ảnh local nằm trong frontend/public/image/tours; CSDL chỉ lưu URL bắt đầu bằng /image/tours/.</x:v>
      </x:c>
      <x:c r="J17" s="127" t="str">
        <x:v>local_asset</x:v>
      </x:c>
      <x:c r="K17" s="93" t="str">
        <x:v>https://i.pinimg.com/736x/60/9c/ef/609cefb4e490debd1ea140b6e21be7bc.jpg</x:v>
      </x:c>
    </x:row>
    <x:row r="18">
      <x:c r="A18" s="161" t="str">
        <x:v>IMG-SCHPY003-05</x:v>
      </x:c>
      <x:c r="B18" s="147" t="str">
        <x:v>SCHPY003</x:v>
      </x:c>
      <x:c r="C18" s="147" t="str">
        <x:v>/image/tours/phu-yen-bai-bien-dua-01.jpg</x:v>
      </x:c>
      <x:c r="D18" s="147"/>
      <x:c r="E18" s="147" t="str">
        <x:v>gallery</x:v>
      </x:c>
      <x:c r="F18" s="147" t="n">
        <x:v>5</x:v>
      </x:c>
      <x:c r="G18" s="147" t="str">
        <x:v>Bữa hải sản đầm Ô Loan không nhựa dùng một lần – Bãi Xép - Ghềnh Ông - Tháp Nhạn 1 ngày</x:v>
      </x:c>
      <x:c r="H18" s="147" t="str">
        <x:v>/image/tours/phu-yen-bai-bien-dua-01.jpg</x:v>
      </x:c>
      <x:c r="I18" s="147" t="str">
        <x:v>Ảnh local nằm trong frontend/public/image/tours; CSDL chỉ lưu URL bắt đầu bằng /image/tours/.</x:v>
      </x:c>
      <x:c r="J18" s="127" t="str">
        <x:v>local_asset</x:v>
      </x:c>
      <x:c r="K18" s="93" t="str">
        <x:v>https://i.pinimg.com/1200x/c9/81/68/c9816838986e252b85aab71a13f07d8d.jpg</x:v>
      </x:c>
    </x:row>
    <x:row r="19">
      <x:c r="A19" s="161" t="str">
        <x:v>IMG-SCHPY003-06</x:v>
      </x:c>
      <x:c r="B19" s="147" t="str">
        <x:v>SCHPY003</x:v>
      </x:c>
      <x:c r="C19" s="147" t="str">
        <x:v>/image/tours/phu-yen-bai-da-ven-bien-01.jpg</x:v>
      </x:c>
      <x:c r="D19" s="147"/>
      <x:c r="E19" s="147" t="str">
        <x:v>gallery</x:v>
      </x:c>
      <x:c r="F19" s="147" t="n">
        <x:v>6</x:v>
      </x:c>
      <x:c r="G19" s="147" t="str">
        <x:v>Check-in Hải đăng Mũi Điện - Bãi Môn – Bãi Xép - Ghềnh Ông - Tháp Nhạn 1 ngày</x:v>
      </x:c>
      <x:c r="H19" s="147" t="str">
        <x:v>/image/tours/phu-yen-bai-da-ven-bien-01.jpg</x:v>
      </x:c>
      <x:c r="I19" s="147" t="str">
        <x:v>Ảnh local nằm trong frontend/public/image/tours; CSDL chỉ lưu URL bắt đầu bằng /image/tours/.</x:v>
      </x:c>
      <x:c r="J19" s="127" t="str">
        <x:v>local_asset</x:v>
      </x:c>
      <x:c r="K19" s="93" t="str">
        <x:v>https://i.pinimg.com/1200x/a4/54/5a/a4545a58170747ef18d15a28d465bc13.jpg</x:v>
      </x:c>
    </x:row>
    <x:row r="20">
      <x:c r="A20" s="161" t="str">
        <x:v>IMG-SCHPY004-01</x:v>
      </x:c>
      <x:c r="B20" s="147" t="str">
        <x:v>SCHPY004</x:v>
      </x:c>
      <x:c r="C20" s="147" t="str">
        <x:v>/image/tours/phu-yen-bien-trong-01.jpg</x:v>
      </x:c>
      <x:c r="D20" s="147"/>
      <x:c r="E20" s="147" t="str">
        <x:v>cover</x:v>
      </x:c>
      <x:c r="F20" s="147" t="n">
        <x:v>1</x:v>
      </x:c>
      <x:c r="G20" s="147" t="str">
        <x:v>Hòn Yến - Nhất Tự Sơn - làng chài xanh – Hòn Yến - Nhất Tự Sơn - làng chài xanh</x:v>
      </x:c>
      <x:c r="H20" s="147" t="str">
        <x:v>/image/tours/phu-yen-bien-trong-01.jpg</x:v>
      </x:c>
      <x:c r="I20" s="147" t="str">
        <x:v>Ảnh local nằm trong frontend/public/image/tours; CSDL chỉ lưu URL bắt đầu bằng /image/tours/.</x:v>
      </x:c>
      <x:c r="J20" s="127" t="str">
        <x:v>local_asset</x:v>
      </x:c>
      <x:c r="K20" s="93" t="str">
        <x:v>https://i.pinimg.com/1200x/e6/58/65/e658653f875121e5aadc54c25a1b397b.jpg</x:v>
      </x:c>
    </x:row>
    <x:row r="21">
      <x:c r="A21" s="161" t="str">
        <x:v>IMG-SCHPY004-02</x:v>
      </x:c>
      <x:c r="B21" s="147" t="str">
        <x:v>SCHPY004</x:v>
      </x:c>
      <x:c r="C21" s="147" t="str">
        <x:v>/image/tours/phu-yen-lang-chai-vung-ro-01.jpg</x:v>
      </x:c>
      <x:c r="D21" s="147"/>
      <x:c r="E21" s="147" t="str">
        <x:v>gallery</x:v>
      </x:c>
      <x:c r="F21" s="147" t="n">
        <x:v>2</x:v>
      </x:c>
      <x:c r="G21" s="147" t="str">
        <x:v>Ngắm san hô Hòn Yến khi thủy triều xuống – Hòn Yến - Nhất Tự Sơn - làng chài xanh</x:v>
      </x:c>
      <x:c r="H21" s="147" t="str">
        <x:v>/image/tours/phu-yen-lang-chai-vung-ro-01.jpg</x:v>
      </x:c>
      <x:c r="I21" s="147" t="str">
        <x:v>Ảnh local nằm trong frontend/public/image/tours; CSDL chỉ lưu URL bắt đầu bằng /image/tours/.</x:v>
      </x:c>
      <x:c r="J21" s="127" t="str">
        <x:v>local_asset</x:v>
      </x:c>
      <x:c r="K21" s="93" t="str">
        <x:v>https://i.pinimg.com/736x/3f/87/0e/3f870eb589c0b29dd95402a8acf8cf25.jpg</x:v>
      </x:c>
    </x:row>
    <x:row r="22">
      <x:c r="A22" s="161" t="str">
        <x:v>IMG-SCHPY004-03</x:v>
      </x:c>
      <x:c r="B22" s="147" t="str">
        <x:v>SCHPY004</x:v>
      </x:c>
      <x:c r="C22" s="147" t="str">
        <x:v>/image/tours/phu-yen-bai-da-ven-bien-01.jpg</x:v>
      </x:c>
      <x:c r="D22" s="147"/>
      <x:c r="E22" s="147" t="str">
        <x:v>gallery</x:v>
      </x:c>
      <x:c r="F22" s="147" t="n">
        <x:v>3</x:v>
      </x:c>
      <x:c r="G22" s="147" t="str">
        <x:v>Homestay làng chài Hòn Yến giảm nhựa – Hòn Yến - Nhất Tự Sơn - làng chài xanh</x:v>
      </x:c>
      <x:c r="H22" s="147" t="str">
        <x:v>/image/tours/phu-yen-bai-da-ven-bien-01.jpg</x:v>
      </x:c>
      <x:c r="I22" s="147" t="str">
        <x:v>Ảnh local nằm trong frontend/public/image/tours; CSDL chỉ lưu URL bắt đầu bằng /image/tours/.</x:v>
      </x:c>
      <x:c r="J22" s="127" t="str">
        <x:v>local_asset</x:v>
      </x:c>
      <x:c r="K22" s="93" t="str">
        <x:v>https://i.pinimg.com/736x/e2/4f/59/e24f591500b16e994a8055892f2a7b52.jpg</x:v>
      </x:c>
    </x:row>
    <x:row r="23">
      <x:c r="A23" s="161" t="str">
        <x:v>IMG-SCHPY004-04</x:v>
      </x:c>
      <x:c r="B23" s="147" t="str">
        <x:v>SCHPY004</x:v>
      </x:c>
      <x:c r="C23" s="147" t="str">
        <x:v>/image/tours/phu-yen-checkin-ven-bien-01.jpg</x:v>
      </x:c>
      <x:c r="D23" s="147"/>
      <x:c r="E23" s="147" t="str">
        <x:v>gallery</x:v>
      </x:c>
      <x:c r="F23" s="147" t="n">
        <x:v>4</x:v>
      </x:c>
      <x:c r="G23" s="147" t="str">
        <x:v>Xe điện nhóm nhỏ Tuy Hòa - Tuy An – Hòn Yến - Nhất Tự Sơn - làng chài xanh</x:v>
      </x:c>
      <x:c r="H23" s="147" t="str">
        <x:v>/image/tours/phu-yen-checkin-ven-bien-01.jpg</x:v>
      </x:c>
      <x:c r="I23" s="147" t="str">
        <x:v>Ảnh local nằm trong frontend/public/image/tours; CSDL chỉ lưu URL bắt đầu bằng /image/tours/.</x:v>
      </x:c>
      <x:c r="J23" s="127" t="str">
        <x:v>local_asset</x:v>
      </x:c>
      <x:c r="K23" s="93" t="str">
        <x:v>https://i.pinimg.com/736x/12/3f/f2/123ff25efda490eb4228ebea787f66cd.jpg</x:v>
      </x:c>
    </x:row>
    <x:row r="24">
      <x:c r="A24" s="161" t="str">
        <x:v>IMG-SCHPY004-05</x:v>
      </x:c>
      <x:c r="B24" s="147" t="str">
        <x:v>SCHPY004</x:v>
      </x:c>
      <x:c r="C24" s="147" t="str">
        <x:v>/image/tours/phu-yen-bai-bien-dua-01.jpg</x:v>
      </x:c>
      <x:c r="D24" s="147"/>
      <x:c r="E24" s="147" t="str">
        <x:v>gallery</x:v>
      </x:c>
      <x:c r="F24" s="147" t="n">
        <x:v>5</x:v>
      </x:c>
      <x:c r="G24" s="147" t="str">
        <x:v>Bữa hải sản đầm Ô Loan không nhựa dùng một lần – Hòn Yến - Nhất Tự Sơn - làng chài xanh</x:v>
      </x:c>
      <x:c r="H24" s="147" t="str">
        <x:v>/image/tours/phu-yen-bai-bien-dua-01.jpg</x:v>
      </x:c>
      <x:c r="I24" s="147" t="str">
        <x:v>Ảnh local nằm trong frontend/public/image/tours; CSDL chỉ lưu URL bắt đầu bằng /image/tours/.</x:v>
      </x:c>
      <x:c r="J24" s="127" t="str">
        <x:v>local_asset</x:v>
      </x:c>
      <x:c r="K24" s="93" t="str">
        <x:v>https://i.pinimg.com/1200x/c9/81/68/c9816838986e252b85aab71a13f07d8d.jpg</x:v>
      </x:c>
    </x:row>
    <x:row r="25">
      <x:c r="A25" s="161" t="str">
        <x:v>IMG-SCHPY004-06</x:v>
      </x:c>
      <x:c r="B25" s="147" t="str">
        <x:v>SCHPY004</x:v>
      </x:c>
      <x:c r="C25" s="147" t="str">
        <x:v>/image/tours/phu-yen-duong-ven-bien-01.jpg</x:v>
      </x:c>
      <x:c r="D25" s="147"/>
      <x:c r="E25" s="147" t="str">
        <x:v>gallery</x:v>
      </x:c>
      <x:c r="F25" s="147" t="n">
        <x:v>6</x:v>
      </x:c>
      <x:c r="G25" s="147" t="str">
        <x:v>Vé tham quan Gành Đá Đĩa – Hòn Yến - Nhất Tự Sơn - làng chài xanh</x:v>
      </x:c>
      <x:c r="H25" s="147" t="str">
        <x:v>/image/tours/phu-yen-duong-ven-bien-01.jpg</x:v>
      </x:c>
      <x:c r="I25" s="147" t="str">
        <x:v>Ảnh local nằm trong frontend/public/image/tours; CSDL chỉ lưu URL bắt đầu bằng /image/tours/.</x:v>
      </x:c>
      <x:c r="J25" s="127" t="str">
        <x:v>local_asset</x:v>
      </x:c>
      <x:c r="K25" s="93" t="str">
        <x:v>https://i.pinimg.com/736x/60/9c/ef/609cefb4e490debd1ea140b6e21be7bc.jpg</x:v>
      </x:c>
    </x:row>
    <x:row r="26">
      <x:c r="A26" s="161" t="str">
        <x:v>IMG-SCHDL005-01</x:v>
      </x:c>
      <x:c r="B26" s="147" t="str">
        <x:v>SCHDL005</x:v>
      </x:c>
      <x:c r="C26" s="147" t="str">
        <x:v>/image/tours/da-lat-ho-xuan-huong-01.jpg</x:v>
      </x:c>
      <x:c r="D26" s="147"/>
      <x:c r="E26" s="147" t="str">
        <x:v>cover</x:v>
      </x:c>
      <x:c r="F26" s="147" t="n">
        <x:v>1</x:v>
      </x:c>
      <x:c r="G26" s="147" t="str">
        <x:v>Đà Lạt chill: Hồ Xuân Hương - Quảng trường Lâm Viên – Đà Lạt chill: Hồ Xuân Hương - Quảng trường Lâm Viên</x:v>
      </x:c>
      <x:c r="H26" s="147" t="str">
        <x:v>/image/tours/da-lat-ho-xuan-huong-01.jpg</x:v>
      </x:c>
      <x:c r="I26" s="147" t="str">
        <x:v>Ảnh local nằm trong frontend/public/image/tours; CSDL chỉ lưu URL bắt đầu bằng /image/tours/.</x:v>
      </x:c>
      <x:c r="J26" s="127" t="str">
        <x:v>local_asset</x:v>
      </x:c>
      <x:c r="K26" s="93" t="str">
        <x:v>https://i.pinimg.com/736x/10/f4/97/10f4970291970e2f773327a6ad723bc0.jpg</x:v>
      </x:c>
    </x:row>
    <x:row r="27">
      <x:c r="A27" s="161" t="str">
        <x:v>IMG-SCHDL005-02</x:v>
      </x:c>
      <x:c r="B27" s="147" t="str">
        <x:v>SCHDL005</x:v>
      </x:c>
      <x:c r="C27" s="147" t="str">
        <x:v>/image/tours/da-lat-quang-truong-lam-vien-01.jpg</x:v>
      </x:c>
      <x:c r="D27" s="147"/>
      <x:c r="E27" s="147" t="str">
        <x:v>gallery</x:v>
      </x:c>
      <x:c r="F27" s="147" t="n">
        <x:v>2</x:v>
      </x:c>
      <x:c r="G27" s="147" t="str">
        <x:v>Đạp xe quanh Hồ Xuân Hương – Đà Lạt chill: Hồ Xuân Hương - Quảng trường Lâm Viên</x:v>
      </x:c>
      <x:c r="H27" s="147" t="str">
        <x:v>/image/tours/da-lat-quang-truong-lam-vien-01.jpg</x:v>
      </x:c>
      <x:c r="I27" s="147" t="str">
        <x:v>Ảnh local nằm trong frontend/public/image/tours; CSDL chỉ lưu URL bắt đầu bằng /image/tours/.</x:v>
      </x:c>
      <x:c r="J27" s="127" t="str">
        <x:v>local_asset</x:v>
      </x:c>
      <x:c r="K27" s="93" t="str">
        <x:v>https://i.pinimg.com/736x/57/3e/6e/573e6e32477855a7ed566e64e07a4c39.jpg</x:v>
      </x:c>
    </x:row>
    <x:row r="28">
      <x:c r="A28" s="161" t="str">
        <x:v>IMG-SCHDL005-03</x:v>
      </x:c>
      <x:c r="B28" s="147" t="str">
        <x:v>SCHDL005</x:v>
      </x:c>
      <x:c r="C28" s="147" t="str">
        <x:v>/image/tours/da-lat-quang-truong-lam-vien-02.jpg</x:v>
      </x:c>
      <x:c r="D28" s="147"/>
      <x:c r="E28" s="147" t="str">
        <x:v>gallery</x:v>
      </x:c>
      <x:c r="F28" s="147" t="n">
        <x:v>3</x:v>
      </x:c>
      <x:c r="G28" s="147" t="str">
        <x:v>Check-in Quảng trường Lâm Viên – Đà Lạt chill: Hồ Xuân Hương - Quảng trường Lâm Viên</x:v>
      </x:c>
      <x:c r="H28" s="147" t="str">
        <x:v>/image/tours/da-lat-quang-truong-lam-vien-02.jpg</x:v>
      </x:c>
      <x:c r="I28" s="147" t="str">
        <x:v>Ảnh local nằm trong frontend/public/image/tours; CSDL chỉ lưu URL bắt đầu bằng /image/tours/.</x:v>
      </x:c>
      <x:c r="J28" s="127" t="str">
        <x:v>local_asset</x:v>
      </x:c>
      <x:c r="K28" s="93" t="str">
        <x:v>https://i.pinimg.com/736x/21/55/8f/21558f3ae0639ac880decc74e24a4f9a.jpg</x:v>
      </x:c>
    </x:row>
    <x:row r="29">
      <x:c r="A29" s="161" t="str">
        <x:v>IMG-SCHDL005-04</x:v>
      </x:c>
      <x:c r="B29" s="147" t="str">
        <x:v>SCHDL005</x:v>
      </x:c>
      <x:c r="C29" s="147" t="str">
        <x:v>/image/tours/da-lat-doc-pho-01.jpg</x:v>
      </x:c>
      <x:c r="D29" s="147"/>
      <x:c r="E29" s="147" t="str">
        <x:v>gallery</x:v>
      </x:c>
      <x:c r="F29" s="147" t="n">
        <x:v>4</x:v>
      </x:c>
      <x:c r="G29" s="147" t="str">
        <x:v>Trekking Langbiang cùng hướng dẫn viên bản địa – Đà Lạt chill: Hồ Xuân Hương - Quảng trường Lâm Viên</x:v>
      </x:c>
      <x:c r="H29" s="147" t="str">
        <x:v>/image/tours/da-lat-doc-pho-01.jpg</x:v>
      </x:c>
      <x:c r="I29" s="147" t="str">
        <x:v>Ảnh local nằm trong frontend/public/image/tours; CSDL chỉ lưu URL bắt đầu bằng /image/tours/.</x:v>
      </x:c>
      <x:c r="J29" s="127" t="str">
        <x:v>local_asset</x:v>
      </x:c>
      <x:c r="K29" s="93" t="str">
        <x:v>https://i.pinimg.com/1200x/ce/2c/ca/ce2ccaa3ae760d552f1f7a765572239f.jpg</x:v>
      </x:c>
    </x:row>
    <x:row r="30">
      <x:c r="A30" s="161" t="str">
        <x:v>IMG-SCHDL005-05</x:v>
      </x:c>
      <x:c r="B30" s="147" t="str">
        <x:v>SCHDL005</x:v>
      </x:c>
      <x:c r="C30" s="147" t="str">
        <x:v>/image/tours/da-lat-hem-pho-01.jpg</x:v>
      </x:c>
      <x:c r="D30" s="147"/>
      <x:c r="E30" s="147" t="str">
        <x:v>gallery</x:v>
      </x:c>
      <x:c r="F30" s="147" t="n">
        <x:v>5</x:v>
      </x:c>
      <x:c r="G30" s="147" t="str">
        <x:v>Chèo SUP hồ Tuyền Lâm – Đà Lạt chill: Hồ Xuân Hương - Quảng trường Lâm Viên</x:v>
      </x:c>
      <x:c r="H30" s="147" t="str">
        <x:v>/image/tours/da-lat-hem-pho-01.jpg</x:v>
      </x:c>
      <x:c r="I30" s="147" t="str">
        <x:v>Ảnh local nằm trong frontend/public/image/tours; CSDL chỉ lưu URL bắt đầu bằng /image/tours/.</x:v>
      </x:c>
      <x:c r="J30" s="127" t="str">
        <x:v>local_asset</x:v>
      </x:c>
      <x:c r="K30" s="93" t="str">
        <x:v>https://i.pinimg.com/736x/ea/01/24/ea0124134d5a8203b0be16f2ab14c78b.jpg</x:v>
      </x:c>
    </x:row>
    <x:row r="31">
      <x:c r="A31" s="161" t="str">
        <x:v>IMG-SCHDL005-06</x:v>
      </x:c>
      <x:c r="B31" s="147" t="str">
        <x:v>SCHDL005</x:v>
      </x:c>
      <x:c r="C31" s="147" t="str">
        <x:v>/image/tours/da-lat-toan-canh-thanh-pho-01.jpg</x:v>
      </x:c>
      <x:c r="D31" s="147"/>
      <x:c r="E31" s="147" t="str">
        <x:v>gallery</x:v>
      </x:c>
      <x:c r="F31" s="147" t="n">
        <x:v>6</x:v>
      </x:c>
      <x:c r="G31" s="147" t="str">
        <x:v>Tham quan Thiền viện Trúc Lâm – Đà Lạt chill: Hồ Xuân Hương - Quảng trường Lâm Viên</x:v>
      </x:c>
      <x:c r="H31" s="147" t="str">
        <x:v>/image/tours/da-lat-toan-canh-thanh-pho-01.jpg</x:v>
      </x:c>
      <x:c r="I31" s="147" t="str">
        <x:v>Ảnh local nằm trong frontend/public/image/tours; CSDL chỉ lưu URL bắt đầu bằng /image/tours/.</x:v>
      </x:c>
      <x:c r="J31" s="127" t="str">
        <x:v>local_asset</x:v>
      </x:c>
      <x:c r="K31" s="93" t="str">
        <x:v>https://i.pinimg.com/1200x/4f/3f/cc/4f3fcc214267658458c9328dd1b4f7d5.jpg</x:v>
      </x:c>
    </x:row>
    <x:row r="32">
      <x:c r="A32" s="161" t="str">
        <x:v>IMG-SCHDL006-01</x:v>
      </x:c>
      <x:c r="B32" s="147" t="str">
        <x:v>SCHDL006</x:v>
      </x:c>
      <x:c r="C32" s="147" t="str">
        <x:v>/image/tours/da-lat-toan-canh-thanh-pho-01.jpg</x:v>
      </x:c>
      <x:c r="D32" s="147"/>
      <x:c r="E32" s="147" t="str">
        <x:v>cover</x:v>
      </x:c>
      <x:c r="F32" s="147" t="n">
        <x:v>1</x:v>
      </x:c>
      <x:c r="G32" s="147" t="str">
        <x:v>Langbiang - làng Cù Lần - nông trại cà phê – Langbiang - làng Cù Lần - nông trại cà phê</x:v>
      </x:c>
      <x:c r="H32" s="147" t="str">
        <x:v>/image/tours/da-lat-toan-canh-thanh-pho-01.jpg</x:v>
      </x:c>
      <x:c r="I32" s="147" t="str">
        <x:v>Ảnh local nằm trong frontend/public/image/tours; CSDL chỉ lưu URL bắt đầu bằng /image/tours/.</x:v>
      </x:c>
      <x:c r="J32" s="127" t="str">
        <x:v>local_asset</x:v>
      </x:c>
      <x:c r="K32" s="93" t="str">
        <x:v>https://i.pinimg.com/1200x/69/d6/e5/69d6e56299838d8728a7670ed21edd91.jpg</x:v>
      </x:c>
    </x:row>
    <x:row r="33">
      <x:c r="A33" s="161" t="str">
        <x:v>IMG-SCHDL006-02</x:v>
      </x:c>
      <x:c r="B33" s="147" t="str">
        <x:v>SCHDL006</x:v>
      </x:c>
      <x:c r="C33" s="147" t="str">
        <x:v>/image/tours/da-lat-rung-thong-01.jpg</x:v>
      </x:c>
      <x:c r="D33" s="147"/>
      <x:c r="E33" s="147" t="str">
        <x:v>gallery</x:v>
      </x:c>
      <x:c r="F33" s="147" t="n">
        <x:v>2</x:v>
      </x:c>
      <x:c r="G33" s="147" t="str">
        <x:v>Trekking Langbiang cùng hướng dẫn viên bản địa – Langbiang - làng Cù Lần - nông trại cà phê</x:v>
      </x:c>
      <x:c r="H33" s="147" t="str">
        <x:v>/image/tours/da-lat-rung-thong-01.jpg</x:v>
      </x:c>
      <x:c r="I33" s="147" t="str">
        <x:v>Ảnh local nằm trong frontend/public/image/tours; CSDL chỉ lưu URL bắt đầu bằng /image/tours/.</x:v>
      </x:c>
      <x:c r="J33" s="127" t="str">
        <x:v>local_asset</x:v>
      </x:c>
      <x:c r="K33" s="93" t="str">
        <x:v>https://i.pinimg.com/1200x/ce/2c/ca/ce2ccaa3ae760d552f1f7a765572239f.jpg</x:v>
      </x:c>
    </x:row>
    <x:row r="34">
      <x:c r="A34" s="161" t="str">
        <x:v>IMG-SCHDL006-03</x:v>
      </x:c>
      <x:c r="B34" s="147" t="str">
        <x:v>SCHDL006</x:v>
      </x:c>
      <x:c r="C34" s="147" t="str">
        <x:v>/image/tours/da-lat-rung-thong-02.jpg</x:v>
      </x:c>
      <x:c r="D34" s="147"/>
      <x:c r="E34" s="147" t="str">
        <x:v>gallery</x:v>
      </x:c>
      <x:c r="F34" s="147" t="n">
        <x:v>3</x:v>
      </x:c>
      <x:c r="G34" s="147" t="str">
        <x:v>Lưu trú xanh ven hồ Tuyền Lâm – Langbiang - làng Cù Lần - nông trại cà phê</x:v>
      </x:c>
      <x:c r="H34" s="147" t="str">
        <x:v>/image/tours/da-lat-rung-thong-02.jpg</x:v>
      </x:c>
      <x:c r="I34" s="147" t="str">
        <x:v>Ảnh local nằm trong frontend/public/image/tours; CSDL chỉ lưu URL bắt đầu bằng /image/tours/.</x:v>
      </x:c>
      <x:c r="J34" s="127" t="str">
        <x:v>local_asset</x:v>
      </x:c>
      <x:c r="K34" s="93" t="str">
        <x:v>https://i.pinimg.com/736x/9e/28/e0/9e28e009cfaea443652af842c4b6ccae.jpg</x:v>
      </x:c>
    </x:row>
    <x:row r="35">
      <x:c r="A35" s="161" t="str">
        <x:v>IMG-SCHDL006-04</x:v>
      </x:c>
      <x:c r="B35" s="147" t="str">
        <x:v>SCHDL006</x:v>
      </x:c>
      <x:c r="C35" s="147" t="str">
        <x:v>/image/tours/da-lat-rung-thong-san-may-01.jpg</x:v>
      </x:c>
      <x:c r="D35" s="147"/>
      <x:c r="E35" s="147" t="str">
        <x:v>gallery</x:v>
      </x:c>
      <x:c r="F35" s="147" t="n">
        <x:v>4</x:v>
      </x:c>
      <x:c r="G35" s="147" t="str">
        <x:v>Workshop cà phê Cầu Đất &amp; nông trại hữu cơ – Langbiang - làng Cù Lần - nông trại cà phê</x:v>
      </x:c>
      <x:c r="H35" s="147" t="str">
        <x:v>/image/tours/da-lat-rung-thong-san-may-01.jpg</x:v>
      </x:c>
      <x:c r="I35" s="147" t="str">
        <x:v>Ảnh local nằm trong frontend/public/image/tours; CSDL chỉ lưu URL bắt đầu bằng /image/tours/.</x:v>
      </x:c>
      <x:c r="J35" s="127" t="str">
        <x:v>local_asset</x:v>
      </x:c>
      <x:c r="K35" s="93" t="str">
        <x:v>https://i.pinimg.com/736x/6b/66/2d/6b662d824945ef388197b07d998f8359.jpg</x:v>
      </x:c>
    </x:row>
    <x:row r="36">
      <x:c r="A36" s="161" t="str">
        <x:v>IMG-SCHDL006-05</x:v>
      </x:c>
      <x:c r="B36" s="147" t="str">
        <x:v>SCHDL006</x:v>
      </x:c>
      <x:c r="C36" s="147" t="str">
        <x:v>/image/tours/da-lat-diem-ngam-thanh-pho-01.jpg</x:v>
      </x:c>
      <x:c r="D36" s="147"/>
      <x:c r="E36" s="147" t="str">
        <x:v>gallery</x:v>
      </x:c>
      <x:c r="F36" s="147" t="n">
        <x:v>5</x:v>
      </x:c>
      <x:c r="G36" s="147" t="str">
        <x:v>Thuê xe đạp/xe điện Đà Lạt – Langbiang - làng Cù Lần - nông trại cà phê</x:v>
      </x:c>
      <x:c r="H36" s="147" t="str">
        <x:v>/image/tours/da-lat-diem-ngam-thanh-pho-01.jpg</x:v>
      </x:c>
      <x:c r="I36" s="147" t="str">
        <x:v>Ảnh local nằm trong frontend/public/image/tours; CSDL chỉ lưu URL bắt đầu bằng /image/tours/.</x:v>
      </x:c>
      <x:c r="J36" s="127" t="str">
        <x:v>local_asset</x:v>
      </x:c>
      <x:c r="K36" s="93" t="str">
        <x:v>https://i.pinimg.com/736x/c6/61/09/c6610904eb8a55fc18cdc007f25f1a12.jpg</x:v>
      </x:c>
    </x:row>
    <x:row r="37">
      <x:c r="A37" s="161" t="str">
        <x:v>IMG-SCHDL006-06</x:v>
      </x:c>
      <x:c r="B37" s="147" t="str">
        <x:v>SCHDL006</x:v>
      </x:c>
      <x:c r="C37" s="147" t="str">
        <x:v>/image/tours/da-lat-nghi-duong-ven-ho-01.jpg</x:v>
      </x:c>
      <x:c r="D37" s="147"/>
      <x:c r="E37" s="147" t="str">
        <x:v>gallery</x:v>
      </x:c>
      <x:c r="F37" s="147" t="n">
        <x:v>6</x:v>
      </x:c>
      <x:c r="G37" s="147" t="str">
        <x:v>Đạp xe quanh Hồ Xuân Hương – Langbiang - làng Cù Lần - nông trại cà phê</x:v>
      </x:c>
      <x:c r="H37" s="147" t="str">
        <x:v>/image/tours/da-lat-nghi-duong-ven-ho-01.jpg</x:v>
      </x:c>
      <x:c r="I37" s="147" t="str">
        <x:v>Ảnh local nằm trong frontend/public/image/tours; CSDL chỉ lưu URL bắt đầu bằng /image/tours/.</x:v>
      </x:c>
      <x:c r="J37" s="127" t="str">
        <x:v>local_asset</x:v>
      </x:c>
      <x:c r="K37" s="93" t="str">
        <x:v>https://i.pinimg.com/736x/57/3e/6e/573e6e32477855a7ed566e64e07a4c39.jpg</x:v>
      </x:c>
    </x:row>
    <x:row r="38">
      <x:c r="A38" s="161" t="str">
        <x:v>IMG-SCHDL007-01</x:v>
      </x:c>
      <x:c r="B38" s="147" t="str">
        <x:v>SCHDL007</x:v>
      </x:c>
      <x:c r="C38" s="147" t="str">
        <x:v>/image/tours/da-lat-ho-tuyen-lam-01.jpg</x:v>
      </x:c>
      <x:c r="D38" s="147"/>
      <x:c r="E38" s="147" t="str">
        <x:v>cover</x:v>
      </x:c>
      <x:c r="F38" s="147" t="n">
        <x:v>1</x:v>
      </x:c>
      <x:c r="G38" s="147" t="str">
        <x:v>Hồ Tuyền Lâm - Thiền viện Trúc Lâm - thác Datanla – Hồ Tuyền Lâm - Thiền viện Trúc Lâm - thác Datanla</x:v>
      </x:c>
      <x:c r="H38" s="147" t="str">
        <x:v>/image/tours/da-lat-ho-tuyen-lam-01.jpg</x:v>
      </x:c>
      <x:c r="I38" s="147" t="str">
        <x:v>Ảnh local nằm trong frontend/public/image/tours; CSDL chỉ lưu URL bắt đầu bằng /image/tours/.</x:v>
      </x:c>
      <x:c r="J38" s="127" t="str">
        <x:v>local_asset</x:v>
      </x:c>
      <x:c r="K38" s="93" t="str">
        <x:v>https://i.pinimg.com/1200x/b4/cd/b9/b4cdb9c05718a57d34787052447ca7bf.jpg</x:v>
      </x:c>
    </x:row>
    <x:row r="39">
      <x:c r="A39" s="161" t="str">
        <x:v>IMG-SCHDL007-02</x:v>
      </x:c>
      <x:c r="B39" s="147" t="str">
        <x:v>SCHDL007</x:v>
      </x:c>
      <x:c r="C39" s="147" t="str">
        <x:v>/image/tours/da-lat-nghi-duong-ven-ho-01.jpg</x:v>
      </x:c>
      <x:c r="D39" s="147"/>
      <x:c r="E39" s="147" t="str">
        <x:v>gallery</x:v>
      </x:c>
      <x:c r="F39" s="147" t="n">
        <x:v>2</x:v>
      </x:c>
      <x:c r="G39" s="147" t="str">
        <x:v>Chèo SUP hồ Tuyền Lâm – Hồ Tuyền Lâm - Thiền viện Trúc Lâm - thác Datanla</x:v>
      </x:c>
      <x:c r="H39" s="147" t="str">
        <x:v>/image/tours/da-lat-nghi-duong-ven-ho-01.jpg</x:v>
      </x:c>
      <x:c r="I39" s="147" t="str">
        <x:v>Ảnh local nằm trong frontend/public/image/tours; CSDL chỉ lưu URL bắt đầu bằng /image/tours/.</x:v>
      </x:c>
      <x:c r="J39" s="127" t="str">
        <x:v>local_asset</x:v>
      </x:c>
      <x:c r="K39" s="93" t="str">
        <x:v>https://i.pinimg.com/736x/ea/01/24/ea0124134d5a8203b0be16f2ab14c78b.jpg</x:v>
      </x:c>
    </x:row>
    <x:row r="40">
      <x:c r="A40" s="161" t="str">
        <x:v>IMG-SCHDL007-03</x:v>
      </x:c>
      <x:c r="B40" s="147" t="str">
        <x:v>SCHDL007</x:v>
      </x:c>
      <x:c r="C40" s="147" t="str">
        <x:v>/image/tours/da-lat-thac-nuoc-01.jpg</x:v>
      </x:c>
      <x:c r="D40" s="147"/>
      <x:c r="E40" s="147" t="str">
        <x:v>gallery</x:v>
      </x:c>
      <x:c r="F40" s="147" t="n">
        <x:v>3</x:v>
      </x:c>
      <x:c r="G40" s="147" t="str">
        <x:v>Tham quan Thiền viện Trúc Lâm – Hồ Tuyền Lâm - Thiền viện Trúc Lâm - thác Datanla</x:v>
      </x:c>
      <x:c r="H40" s="147" t="str">
        <x:v>/image/tours/da-lat-thac-nuoc-01.jpg</x:v>
      </x:c>
      <x:c r="I40" s="147" t="str">
        <x:v>Ảnh local nằm trong frontend/public/image/tours; CSDL chỉ lưu URL bắt đầu bằng /image/tours/.</x:v>
      </x:c>
      <x:c r="J40" s="127" t="str">
        <x:v>local_asset</x:v>
      </x:c>
      <x:c r="K40" s="93" t="str">
        <x:v>https://i.pinimg.com/1200x/4f/3f/cc/4f3fcc214267658458c9328dd1b4f7d5.jpg</x:v>
      </x:c>
    </x:row>
    <x:row r="41">
      <x:c r="A41" s="161" t="str">
        <x:v>IMG-SCHDL007-04</x:v>
      </x:c>
      <x:c r="B41" s="147" t="str">
        <x:v>SCHDL007</x:v>
      </x:c>
      <x:c r="C41" s="147" t="str">
        <x:v>/image/tours/da-lat-rung-thong-01.jpg</x:v>
      </x:c>
      <x:c r="D41" s="147"/>
      <x:c r="E41" s="147" t="str">
        <x:v>gallery</x:v>
      </x:c>
      <x:c r="F41" s="147" t="n">
        <x:v>4</x:v>
      </x:c>
      <x:c r="G41" s="147" t="str">
        <x:v>Lưu trú xanh ven hồ Tuyền Lâm – Hồ Tuyền Lâm - Thiền viện Trúc Lâm - thác Datanla</x:v>
      </x:c>
      <x:c r="H41" s="147" t="str">
        <x:v>/image/tours/da-lat-rung-thong-01.jpg</x:v>
      </x:c>
      <x:c r="I41" s="147" t="str">
        <x:v>Ảnh local nằm trong frontend/public/image/tours; CSDL chỉ lưu URL bắt đầu bằng /image/tours/.</x:v>
      </x:c>
      <x:c r="J41" s="127" t="str">
        <x:v>local_asset</x:v>
      </x:c>
      <x:c r="K41" s="93" t="str">
        <x:v>https://i.pinimg.com/736x/9e/28/e0/9e28e009cfaea443652af842c4b6ccae.jpg</x:v>
      </x:c>
    </x:row>
    <x:row r="42">
      <x:c r="A42" s="161" t="str">
        <x:v>IMG-SCHDL007-05</x:v>
      </x:c>
      <x:c r="B42" s="147" t="str">
        <x:v>SCHDL007</x:v>
      </x:c>
      <x:c r="C42" s="147" t="str">
        <x:v>/image/tours/da-lat-rung-thong-02.jpg</x:v>
      </x:c>
      <x:c r="D42" s="147"/>
      <x:c r="E42" s="147" t="str">
        <x:v>gallery</x:v>
      </x:c>
      <x:c r="F42" s="147" t="n">
        <x:v>5</x:v>
      </x:c>
      <x:c r="G42" s="147" t="str">
        <x:v>Thuê xe đạp/xe điện Đà Lạt – Hồ Tuyền Lâm - Thiền viện Trúc Lâm - thác Datanla</x:v>
      </x:c>
      <x:c r="H42" s="147" t="str">
        <x:v>/image/tours/da-lat-rung-thong-02.jpg</x:v>
      </x:c>
      <x:c r="I42" s="147" t="str">
        <x:v>Ảnh local nằm trong frontend/public/image/tours; CSDL chỉ lưu URL bắt đầu bằng /image/tours/.</x:v>
      </x:c>
      <x:c r="J42" s="127" t="str">
        <x:v>local_asset</x:v>
      </x:c>
      <x:c r="K42" s="93" t="str">
        <x:v>https://i.pinimg.com/736x/c6/61/09/c6610904eb8a55fc18cdc007f25f1a12.jpg</x:v>
      </x:c>
    </x:row>
    <x:row r="43">
      <x:c r="A43" s="161" t="str">
        <x:v>IMG-SCHDL007-06</x:v>
      </x:c>
      <x:c r="B43" s="147" t="str">
        <x:v>SCHDL007</x:v>
      </x:c>
      <x:c r="C43" s="147" t="str">
        <x:v>/image/tours/da-lat-chua-linh-phuoc-01.jpg</x:v>
      </x:c>
      <x:c r="D43" s="147"/>
      <x:c r="E43" s="147" t="str">
        <x:v>gallery</x:v>
      </x:c>
      <x:c r="F43" s="147" t="n">
        <x:v>6</x:v>
      </x:c>
      <x:c r="G43" s="147" t="str">
        <x:v>Đạp xe quanh Hồ Xuân Hương – Hồ Tuyền Lâm - Thiền viện Trúc Lâm - thác Datanla</x:v>
      </x:c>
      <x:c r="H43" s="147" t="str">
        <x:v>/image/tours/da-lat-chua-linh-phuoc-01.jpg</x:v>
      </x:c>
      <x:c r="I43" s="147" t="str">
        <x:v>Ảnh local nằm trong frontend/public/image/tours; CSDL chỉ lưu URL bắt đầu bằng /image/tours/.</x:v>
      </x:c>
      <x:c r="J43" s="127" t="str">
        <x:v>local_asset</x:v>
      </x:c>
      <x:c r="K43" s="93" t="str">
        <x:v>https://i.pinimg.com/736x/57/3e/6e/573e6e32477855a7ed566e64e07a4c39.jpg</x:v>
      </x:c>
    </x:row>
    <x:row r="44">
      <x:c r="A44" s="161" t="str">
        <x:v>IMG-SCHDL008-01</x:v>
      </x:c>
      <x:c r="B44" s="147" t="str">
        <x:v>SCHDL008</x:v>
      </x:c>
      <x:c r="C44" s="147" t="str">
        <x:v>/image/tours/da-lat-rung-thong-san-may-01.jpg</x:v>
      </x:c>
      <x:c r="D44" s="147"/>
      <x:c r="E44" s="147" t="str">
        <x:v>cover</x:v>
      </x:c>
      <x:c r="F44" s="147" t="n">
        <x:v>1</x:v>
      </x:c>
      <x:c r="G44" s="147" t="str">
        <x:v>Săn mây Cầu Đất - Chùa Linh Phước - vườn hoa – Săn mây Cầu Đất - Chùa Linh Phước - vườn hoa</x:v>
      </x:c>
      <x:c r="H44" s="147" t="str">
        <x:v>/image/tours/da-lat-rung-thong-san-may-01.jpg</x:v>
      </x:c>
      <x:c r="I44" s="147" t="str">
        <x:v>Ảnh local nằm trong frontend/public/image/tours; CSDL chỉ lưu URL bắt đầu bằng /image/tours/.</x:v>
      </x:c>
      <x:c r="J44" s="127" t="str">
        <x:v>local_asset</x:v>
      </x:c>
      <x:c r="K44" s="93" t="str">
        <x:v>https://i.pinimg.com/736x/ab/bc/3e/abbc3ebbbc054d6cb45b48527d25635d.jpg</x:v>
      </x:c>
    </x:row>
    <x:row r="45">
      <x:c r="A45" s="161" t="str">
        <x:v>IMG-SCHDL008-02</x:v>
      </x:c>
      <x:c r="B45" s="147" t="str">
        <x:v>SCHDL008</x:v>
      </x:c>
      <x:c r="C45" s="147" t="str">
        <x:v>/image/tours/da-lat-chua-linh-phuoc-01.jpg</x:v>
      </x:c>
      <x:c r="D45" s="147"/>
      <x:c r="E45" s="147" t="str">
        <x:v>gallery</x:v>
      </x:c>
      <x:c r="F45" s="147" t="n">
        <x:v>2</x:v>
      </x:c>
      <x:c r="G45" s="147" t="str">
        <x:v>Workshop cà phê Cầu Đất &amp; nông trại hữu cơ – Săn mây Cầu Đất - Chùa Linh Phước - vườn hoa</x:v>
      </x:c>
      <x:c r="H45" s="147" t="str">
        <x:v>/image/tours/da-lat-chua-linh-phuoc-01.jpg</x:v>
      </x:c>
      <x:c r="I45" s="147" t="str">
        <x:v>Ảnh local nằm trong frontend/public/image/tours; CSDL chỉ lưu URL bắt đầu bằng /image/tours/.</x:v>
      </x:c>
      <x:c r="J45" s="127" t="str">
        <x:v>local_asset</x:v>
      </x:c>
      <x:c r="K45" s="93" t="str">
        <x:v>https://i.pinimg.com/736x/6b/66/2d/6b662d824945ef388197b07d998f8359.jpg</x:v>
      </x:c>
    </x:row>
    <x:row r="46">
      <x:c r="A46" s="161" t="str">
        <x:v>IMG-SCHDL008-03</x:v>
      </x:c>
      <x:c r="B46" s="147" t="str">
        <x:v>SCHDL008</x:v>
      </x:c>
      <x:c r="C46" s="147" t="str">
        <x:v>/image/tours/da-lat-vuon-hoa-01.jpg</x:v>
      </x:c>
      <x:c r="D46" s="147"/>
      <x:c r="E46" s="147" t="str">
        <x:v>gallery</x:v>
      </x:c>
      <x:c r="F46" s="147" t="n">
        <x:v>3</x:v>
      </x:c>
      <x:c r="G46" s="147" t="str">
        <x:v>Tham quan Chùa Linh Phước – Săn mây Cầu Đất - Chùa Linh Phước - vườn hoa</x:v>
      </x:c>
      <x:c r="H46" s="147" t="str">
        <x:v>/image/tours/da-lat-vuon-hoa-01.jpg</x:v>
      </x:c>
      <x:c r="I46" s="147" t="str">
        <x:v>Ảnh local nằm trong frontend/public/image/tours; CSDL chỉ lưu URL bắt đầu bằng /image/tours/.</x:v>
      </x:c>
      <x:c r="J46" s="127" t="str">
        <x:v>local_asset</x:v>
      </x:c>
      <x:c r="K46" s="93" t="str">
        <x:v>https://i.pinimg.com/1200x/50/81/43/5081433e45c77ae665bfade0671c76e4.jpg</x:v>
      </x:c>
    </x:row>
    <x:row r="47">
      <x:c r="A47" s="161" t="str">
        <x:v>IMG-SCHDL008-04</x:v>
      </x:c>
      <x:c r="B47" s="147" t="str">
        <x:v>SCHDL008</x:v>
      </x:c>
      <x:c r="C47" s="147" t="str">
        <x:v>/image/tours/da-lat-duong-mai-anh-dao-01.jpg</x:v>
      </x:c>
      <x:c r="D47" s="147"/>
      <x:c r="E47" s="147" t="str">
        <x:v>gallery</x:v>
      </x:c>
      <x:c r="F47" s="147" t="n">
        <x:v>4</x:v>
      </x:c>
      <x:c r="G47" s="147" t="str">
        <x:v>Thuê xe đạp/xe điện Đà Lạt – Săn mây Cầu Đất - Chùa Linh Phước - vườn hoa</x:v>
      </x:c>
      <x:c r="H47" s="147" t="str">
        <x:v>/image/tours/da-lat-duong-mai-anh-dao-01.jpg</x:v>
      </x:c>
      <x:c r="I47" s="147" t="str">
        <x:v>Ảnh local nằm trong frontend/public/image/tours; CSDL chỉ lưu URL bắt đầu bằng /image/tours/.</x:v>
      </x:c>
      <x:c r="J47" s="127" t="str">
        <x:v>local_asset</x:v>
      </x:c>
      <x:c r="K47" s="93" t="str">
        <x:v>https://i.pinimg.com/736x/c6/61/09/c6610904eb8a55fc18cdc007f25f1a12.jpg</x:v>
      </x:c>
    </x:row>
    <x:row r="48">
      <x:c r="A48" s="161" t="str">
        <x:v>IMG-SCHDL008-05</x:v>
      </x:c>
      <x:c r="B48" s="147" t="str">
        <x:v>SCHDL008</x:v>
      </x:c>
      <x:c r="C48" s="147" t="str">
        <x:v>/image/tours/da-lat-quang-truong-lam-vien-01.jpg</x:v>
      </x:c>
      <x:c r="D48" s="147"/>
      <x:c r="E48" s="147" t="str">
        <x:v>gallery</x:v>
      </x:c>
      <x:c r="F48" s="147" t="n">
        <x:v>5</x:v>
      </x:c>
      <x:c r="G48" s="147" t="str">
        <x:v>Check-in Quảng trường Lâm Viên – Săn mây Cầu Đất - Chùa Linh Phước - vườn hoa</x:v>
      </x:c>
      <x:c r="H48" s="147" t="str">
        <x:v>/image/tours/da-lat-quang-truong-lam-vien-01.jpg</x:v>
      </x:c>
      <x:c r="I48" s="147" t="str">
        <x:v>Ảnh local nằm trong frontend/public/image/tours; CSDL chỉ lưu URL bắt đầu bằng /image/tours/.</x:v>
      </x:c>
      <x:c r="J48" s="127" t="str">
        <x:v>local_asset</x:v>
      </x:c>
      <x:c r="K48" s="93" t="str">
        <x:v>https://i.pinimg.com/736x/21/55/8f/21558f3ae0639ac880decc74e24a4f9a.jpg</x:v>
      </x:c>
    </x:row>
    <x:row r="49">
      <x:c r="A49" s="161" t="str">
        <x:v>IMG-SCHDL008-06</x:v>
      </x:c>
      <x:c r="B49" s="147" t="str">
        <x:v>SCHDL008</x:v>
      </x:c>
      <x:c r="C49" s="147" t="str">
        <x:v>/image/tours/da-lat-toan-canh-thanh-pho-01.jpg</x:v>
      </x:c>
      <x:c r="D49" s="147"/>
      <x:c r="E49" s="147" t="str">
        <x:v>gallery</x:v>
      </x:c>
      <x:c r="F49" s="147" t="n">
        <x:v>6</x:v>
      </x:c>
      <x:c r="G49" s="147" t="str">
        <x:v>Đạp xe quanh Hồ Xuân Hương – Săn mây Cầu Đất - Chùa Linh Phước - vườn hoa</x:v>
      </x:c>
      <x:c r="H49" s="147" t="str">
        <x:v>/image/tours/da-lat-toan-canh-thanh-pho-01.jpg</x:v>
      </x:c>
      <x:c r="I49" s="147" t="str">
        <x:v>Ảnh local nằm trong frontend/public/image/tours; CSDL chỉ lưu URL bắt đầu bằng /image/tours/.</x:v>
      </x:c>
      <x:c r="J49" s="127" t="str">
        <x:v>local_asset</x:v>
      </x:c>
      <x:c r="K49" s="93" t="str">
        <x:v>https://i.pinimg.com/736x/57/3e/6e/573e6e32477855a7ed566e64e07a4c39.jpg</x:v>
      </x:c>
    </x:row>
    <x:row r="50">
      <x:c r="A50" s="161" t="str">
        <x:v>IMG-SCHDN009-01</x:v>
      </x:c>
      <x:c r="B50" s="147" t="str">
        <x:v>SCHDN009</x:v>
      </x:c>
      <x:c r="C50" s="147" t="str">
        <x:v>/image/tours/da-nang-bien-my-khe-toan-canh-01.jpg</x:v>
      </x:c>
      <x:c r="D50" s="147"/>
      <x:c r="E50" s="147" t="str">
        <x:v>cover</x:v>
      </x:c>
      <x:c r="F50" s="147" t="n">
        <x:v>1</x:v>
      </x:c>
      <x:c r="G50" s="147" t="str">
        <x:v>Đà Nẵng biển xanh: Sơn Trà - Linh Ứng - Cầu Rồng – Đà Nẵng biển xanh: Sơn Trà - Linh Ứng - Cầu Rồng</x:v>
      </x:c>
      <x:c r="H50" s="147" t="str">
        <x:v>/image/tours/da-nang-bien-my-khe-toan-canh-01.jpg</x:v>
      </x:c>
      <x:c r="I50" s="147" t="str">
        <x:v>Ảnh local nằm trong frontend/public/image/tours; CSDL chỉ lưu URL bắt đầu bằng /image/tours/.</x:v>
      </x:c>
      <x:c r="J50" s="127" t="str">
        <x:v>local_asset</x:v>
      </x:c>
      <x:c r="K50" s="93" t="str">
        <x:v>https://i.pinimg.com/736x/f3/34/b3/f334b3d836d0d5fd68f797f7ad3c7021.jpg</x:v>
      </x:c>
    </x:row>
    <x:row r="51">
      <x:c r="A51" s="161" t="str">
        <x:v>IMG-SCHDN009-02</x:v>
      </x:c>
      <x:c r="B51" s="147" t="str">
        <x:v>SCHDN009</x:v>
      </x:c>
      <x:c r="C51" s="147" t="str">
        <x:v>/image/tours/da-nang-bien-my-khe-01.jpg</x:v>
      </x:c>
      <x:c r="D51" s="147"/>
      <x:c r="E51" s="147" t="str">
        <x:v>gallery</x:v>
      </x:c>
      <x:c r="F51" s="147" t="n">
        <x:v>2</x:v>
      </x:c>
      <x:c r="G51" s="147" t="str">
        <x:v>Bán đảo Sơn Trà - Chùa Linh Ứng – Đà Nẵng biển xanh: Sơn Trà - Linh Ứng - Cầu Rồng</x:v>
      </x:c>
      <x:c r="H51" s="147" t="str">
        <x:v>/image/tours/da-nang-bien-my-khe-01.jpg</x:v>
      </x:c>
      <x:c r="I51" s="147" t="str">
        <x:v>Ảnh local nằm trong frontend/public/image/tours; CSDL chỉ lưu URL bắt đầu bằng /image/tours/.</x:v>
      </x:c>
      <x:c r="J51" s="127" t="str">
        <x:v>local_asset</x:v>
      </x:c>
      <x:c r="K51" s="93" t="str">
        <x:v>https://i.pinimg.com/1200x/ba/83/5c/ba835ca954a9de23675159b00778f2d9.jpg</x:v>
      </x:c>
    </x:row>
    <x:row r="52">
      <x:c r="A52" s="161" t="str">
        <x:v>IMG-SCHDN009-03</x:v>
      </x:c>
      <x:c r="B52" s="147" t="str">
        <x:v>SCHDN009</x:v>
      </x:c>
      <x:c r="C52" s="147" t="str">
        <x:v>/image/tours/da-nang-son-tra-rung-xanh-01.jpg</x:v>
      </x:c>
      <x:c r="D52" s="147"/>
      <x:c r="E52" s="147" t="str">
        <x:v>gallery</x:v>
      </x:c>
      <x:c r="F52" s="147" t="n">
        <x:v>3</x:v>
      </x:c>
      <x:c r="G52" s="147" t="str">
        <x:v>Dạo Cầu Rồng &amp; sông Hàn buổi tối – Đà Nẵng biển xanh: Sơn Trà - Linh Ứng - Cầu Rồng</x:v>
      </x:c>
      <x:c r="H52" s="147" t="str">
        <x:v>/image/tours/da-nang-son-tra-rung-xanh-01.jpg</x:v>
      </x:c>
      <x:c r="I52" s="147" t="str">
        <x:v>Ảnh local nằm trong frontend/public/image/tours; CSDL chỉ lưu URL bắt đầu bằng /image/tours/.</x:v>
      </x:c>
      <x:c r="J52" s="127" t="str">
        <x:v>local_asset</x:v>
      </x:c>
      <x:c r="K52" s="93" t="str">
        <x:v>https://i.pinimg.com/1200x/58/9e/60/589e603ed6614dbf063b018ca1d41044.jpg</x:v>
      </x:c>
    </x:row>
    <x:row r="53">
      <x:c r="A53" s="161" t="str">
        <x:v>IMG-SCHDN009-04</x:v>
      </x:c>
      <x:c r="B53" s="147" t="str">
        <x:v>SCHDN009</x:v>
      </x:c>
      <x:c r="C53" s="147" t="str">
        <x:v>/image/tours/da-nang-cau-rong-hoang-hon-01.jpg</x:v>
      </x:c>
      <x:c r="D53" s="147"/>
      <x:c r="E53" s="147" t="str">
        <x:v>gallery</x:v>
      </x:c>
      <x:c r="F53" s="147" t="n">
        <x:v>4</x:v>
      </x:c>
      <x:c r="G53" s="147" t="str">
        <x:v>Xe điện/xe ghép Đà Nẵng - Hội An – Đà Nẵng biển xanh: Sơn Trà - Linh Ứng - Cầu Rồng</x:v>
      </x:c>
      <x:c r="H53" s="147" t="str">
        <x:v>/image/tours/da-nang-cau-rong-hoang-hon-01.jpg</x:v>
      </x:c>
      <x:c r="I53" s="147" t="str">
        <x:v>Ảnh local nằm trong frontend/public/image/tours; CSDL chỉ lưu URL bắt đầu bằng /image/tours/.</x:v>
      </x:c>
      <x:c r="J53" s="127" t="str">
        <x:v>local_asset</x:v>
      </x:c>
      <x:c r="K53" s="93" t="str">
        <x:v>https://i.pinimg.com/736x/b0/0e/34/b00e344658c05b3980d1b99da0a3418a.jpg</x:v>
      </x:c>
    </x:row>
    <x:row r="54">
      <x:c r="A54" s="161" t="str">
        <x:v>IMG-SCHDN009-05</x:v>
      </x:c>
      <x:c r="B54" s="147" t="str">
        <x:v>SCHDN009</x:v>
      </x:c>
      <x:c r="C54" s="147" t="str">
        <x:v>/image/tours/da-nang-cau-rong-phun-lua-01.jpg</x:v>
      </x:c>
      <x:c r="D54" s="147"/>
      <x:c r="E54" s="147" t="str">
        <x:v>gallery</x:v>
      </x:c>
      <x:c r="F54" s="147" t="n">
        <x:v>5</x:v>
      </x:c>
      <x:c r="G54" s="147" t="str">
        <x:v>Vé Cầu Vàng - Bà Nà Hills – Đà Nẵng biển xanh: Sơn Trà - Linh Ứng - Cầu Rồng</x:v>
      </x:c>
      <x:c r="H54" s="147" t="str">
        <x:v>/image/tours/da-nang-cau-rong-phun-lua-01.jpg</x:v>
      </x:c>
      <x:c r="I54" s="147" t="str">
        <x:v>Ảnh local nằm trong frontend/public/image/tours; CSDL chỉ lưu URL bắt đầu bằng /image/tours/.</x:v>
      </x:c>
      <x:c r="J54" s="127" t="str">
        <x:v>local_asset</x:v>
      </x:c>
      <x:c r="K54" s="93" t="str">
        <x:v>https://i.pinimg.com/1200x/0f/6e/d5/0f6ed53001e1e7e73eb761f57062f899.jpg</x:v>
      </x:c>
    </x:row>
    <x:row r="55">
      <x:c r="A55" s="161" t="str">
        <x:v>IMG-SCHDN009-06</x:v>
      </x:c>
      <x:c r="B55" s="147" t="str">
        <x:v>SCHDN009</x:v>
      </x:c>
      <x:c r="C55" s="147" t="str">
        <x:v>/image/tours/da-nang-poster-du-lich-01.jpg</x:v>
      </x:c>
      <x:c r="D55" s="147"/>
      <x:c r="E55" s="147" t="str">
        <x:v>gallery</x:v>
      </x:c>
      <x:c r="F55" s="147" t="n">
        <x:v>6</x:v>
      </x:c>
      <x:c r="G55" s="147" t="str">
        <x:v>Khám phá Ngũ Hành Sơn – Đà Nẵng biển xanh: Sơn Trà - Linh Ứng - Cầu Rồng</x:v>
      </x:c>
      <x:c r="H55" s="147" t="str">
        <x:v>/image/tours/da-nang-poster-du-lich-01.jpg</x:v>
      </x:c>
      <x:c r="I55" s="147" t="str">
        <x:v>Ảnh local nằm trong frontend/public/image/tours; CSDL chỉ lưu URL bắt đầu bằng /image/tours/.</x:v>
      </x:c>
      <x:c r="J55" s="127" t="str">
        <x:v>local_asset</x:v>
      </x:c>
      <x:c r="K55" s="93" t="str">
        <x:v>https://i.pinimg.com/736x/cc/73/e2/cc73e2cbfec31c9331494fe1117b8085.jpg</x:v>
      </x:c>
    </x:row>
    <x:row r="56">
      <x:c r="A56" s="161" t="str">
        <x:v>IMG-SCHDN010-01</x:v>
      </x:c>
      <x:c r="B56" s="147" t="str">
        <x:v>SCHDN010</x:v>
      </x:c>
      <x:c r="C56" s="147" t="str">
        <x:v>/image/tours/da-nang-cau-vang-ba-na-hills-01.jpg</x:v>
      </x:c>
      <x:c r="D56" s="147"/>
      <x:c r="E56" s="147" t="str">
        <x:v>cover</x:v>
      </x:c>
      <x:c r="F56" s="147" t="n">
        <x:v>1</x:v>
      </x:c>
      <x:c r="G56" s="147" t="str">
        <x:v>Bà Nà Hills - Cầu Vàng trong mây – Bà Nà Hills - Cầu Vàng trong mây</x:v>
      </x:c>
      <x:c r="H56" s="147" t="str">
        <x:v>/image/tours/da-nang-cau-vang-ba-na-hills-01.jpg</x:v>
      </x:c>
      <x:c r="I56" s="147" t="str">
        <x:v>Ảnh local nằm trong frontend/public/image/tours; CSDL chỉ lưu URL bắt đầu bằng /image/tours/.</x:v>
      </x:c>
      <x:c r="J56" s="127" t="str">
        <x:v>local_asset</x:v>
      </x:c>
      <x:c r="K56" s="93" t="str">
        <x:v>https://i.pinimg.com/736x/3d/a1/1f/3da11f5f8766b7c71fdce561420950e1.jpg</x:v>
      </x:c>
    </x:row>
    <x:row r="57">
      <x:c r="A57" s="161" t="str">
        <x:v>IMG-SCHDN010-02</x:v>
      </x:c>
      <x:c r="B57" s="147" t="str">
        <x:v>SCHDN010</x:v>
      </x:c>
      <x:c r="C57" s="147" t="str">
        <x:v>/image/tours/da-nang-cau-vang-binh-minh-01.jpg</x:v>
      </x:c>
      <x:c r="D57" s="147"/>
      <x:c r="E57" s="147" t="str">
        <x:v>gallery</x:v>
      </x:c>
      <x:c r="F57" s="147" t="n">
        <x:v>2</x:v>
      </x:c>
      <x:c r="G57" s="147" t="str">
        <x:v>Xe điện/xe ghép Đà Nẵng - Hội An – Bà Nà Hills - Cầu Vàng trong mây</x:v>
      </x:c>
      <x:c r="H57" s="147" t="str">
        <x:v>/image/tours/da-nang-cau-vang-binh-minh-01.jpg</x:v>
      </x:c>
      <x:c r="I57" s="147" t="str">
        <x:v>Ảnh local nằm trong frontend/public/image/tours; CSDL chỉ lưu URL bắt đầu bằng /image/tours/.</x:v>
      </x:c>
      <x:c r="J57" s="127" t="str">
        <x:v>local_asset</x:v>
      </x:c>
      <x:c r="K57" s="93" t="str">
        <x:v>https://i.pinimg.com/736x/b0/0e/34/b00e344658c05b3980d1b99da0a3418a.jpg</x:v>
      </x:c>
    </x:row>
    <x:row r="58">
      <x:c r="A58" s="161" t="str">
        <x:v>IMG-SCHDN010-03</x:v>
      </x:c>
      <x:c r="B58" s="147" t="str">
        <x:v>SCHDN010</x:v>
      </x:c>
      <x:c r="C58" s="147" t="str">
        <x:v>/image/tours/da-nang-ba-na-hills-lang-phap-01.jpg</x:v>
      </x:c>
      <x:c r="D58" s="147"/>
      <x:c r="E58" s="147" t="str">
        <x:v>gallery</x:v>
      </x:c>
      <x:c r="F58" s="147" t="n">
        <x:v>3</x:v>
      </x:c>
      <x:c r="G58" s="147" t="str">
        <x:v>Vé Cầu Vàng - Bà Nà Hills – Bà Nà Hills - Cầu Vàng trong mây</x:v>
      </x:c>
      <x:c r="H58" s="147" t="str">
        <x:v>/image/tours/da-nang-ba-na-hills-lang-phap-01.jpg</x:v>
      </x:c>
      <x:c r="I58" s="147" t="str">
        <x:v>Ảnh local nằm trong frontend/public/image/tours; CSDL chỉ lưu URL bắt đầu bằng /image/tours/.</x:v>
      </x:c>
      <x:c r="J58" s="127" t="str">
        <x:v>local_asset</x:v>
      </x:c>
      <x:c r="K58" s="93" t="str">
        <x:v>https://i.pinimg.com/1200x/0f/6e/d5/0f6ed53001e1e7e73eb761f57062f899.jpg</x:v>
      </x:c>
    </x:row>
    <x:row r="59">
      <x:c r="A59" s="161" t="str">
        <x:v>IMG-SCHDN010-04</x:v>
      </x:c>
      <x:c r="B59" s="147" t="str">
        <x:v>SCHDN010</x:v>
      </x:c>
      <x:c r="C59" s="147" t="str">
        <x:v>/image/tours/da-nang-ba-na-hills-kien-truc-01.jpg</x:v>
      </x:c>
      <x:c r="D59" s="147"/>
      <x:c r="E59" s="147" t="str">
        <x:v>gallery</x:v>
      </x:c>
      <x:c r="F59" s="147" t="n">
        <x:v>4</x:v>
      </x:c>
      <x:c r="G59" s="147" t="str">
        <x:v>Dạo Cầu Rồng &amp; sông Hàn buổi tối – Bà Nà Hills - Cầu Vàng trong mây</x:v>
      </x:c>
      <x:c r="H59" s="147" t="str">
        <x:v>/image/tours/da-nang-ba-na-hills-kien-truc-01.jpg</x:v>
      </x:c>
      <x:c r="I59" s="147" t="str">
        <x:v>Ảnh local nằm trong frontend/public/image/tours; CSDL chỉ lưu URL bắt đầu bằng /image/tours/.</x:v>
      </x:c>
      <x:c r="J59" s="127" t="str">
        <x:v>local_asset</x:v>
      </x:c>
      <x:c r="K59" s="93" t="str">
        <x:v>https://i.pinimg.com/1200x/58/9e/60/589e603ed6614dbf063b018ca1d41044.jpg</x:v>
      </x:c>
    </x:row>
    <x:row r="60">
      <x:c r="A60" s="161" t="str">
        <x:v>IMG-SCHDN010-05</x:v>
      </x:c>
      <x:c r="B60" s="147" t="str">
        <x:v>SCHDN010</x:v>
      </x:c>
      <x:c r="C60" s="147" t="str">
        <x:v>/image/tours/da-nang-ba-na-hills-tuong-da-01.jpg</x:v>
      </x:c>
      <x:c r="D60" s="147"/>
      <x:c r="E60" s="147" t="str">
        <x:v>gallery</x:v>
      </x:c>
      <x:c r="F60" s="147" t="n">
        <x:v>5</x:v>
      </x:c>
      <x:c r="G60" s="147" t="str">
        <x:v>Khám phá Ngũ Hành Sơn – Bà Nà Hills - Cầu Vàng trong mây</x:v>
      </x:c>
      <x:c r="H60" s="147" t="str">
        <x:v>/image/tours/da-nang-ba-na-hills-tuong-da-01.jpg</x:v>
      </x:c>
      <x:c r="I60" s="147" t="str">
        <x:v>Ảnh local nằm trong frontend/public/image/tours; CSDL chỉ lưu URL bắt đầu bằng /image/tours/.</x:v>
      </x:c>
      <x:c r="J60" s="127" t="str">
        <x:v>local_asset</x:v>
      </x:c>
      <x:c r="K60" s="93" t="str">
        <x:v>https://i.pinimg.com/736x/cc/73/e2/cc73e2cbfec31c9331494fe1117b8085.jpg</x:v>
      </x:c>
    </x:row>
    <x:row r="61">
      <x:c r="A61" s="161" t="str">
        <x:v>IMG-SCHDN010-06</x:v>
      </x:c>
      <x:c r="B61" s="147" t="str">
        <x:v>SCHDN010</x:v>
      </x:c>
      <x:c r="C61" s="147" t="str">
        <x:v>/image/tours/da-nang-son-tra-rung-xanh-01.jpg</x:v>
      </x:c>
      <x:c r="D61" s="147"/>
      <x:c r="E61" s="147" t="str">
        <x:v>gallery</x:v>
      </x:c>
      <x:c r="F61" s="147" t="n">
        <x:v>6</x:v>
      </x:c>
      <x:c r="G61" s="147" t="str">
        <x:v>Bán đảo Sơn Trà - Chùa Linh Ứng – Bà Nà Hills - Cầu Vàng trong mây</x:v>
      </x:c>
      <x:c r="H61" s="147" t="str">
        <x:v>/image/tours/da-nang-son-tra-rung-xanh-01.jpg</x:v>
      </x:c>
      <x:c r="I61" s="147" t="str">
        <x:v>Ảnh local nằm trong frontend/public/image/tours; CSDL chỉ lưu URL bắt đầu bằng /image/tours/.</x:v>
      </x:c>
      <x:c r="J61" s="127" t="str">
        <x:v>local_asset</x:v>
      </x:c>
      <x:c r="K61" s="93" t="str">
        <x:v>https://i.pinimg.com/1200x/ba/83/5c/ba835ca954a9de23675159b00778f2d9.jpg</x:v>
      </x:c>
    </x:row>
    <x:row r="62">
      <x:c r="A62" s="161" t="str">
        <x:v>IMG-SCHHA011-01</x:v>
      </x:c>
      <x:c r="B62" s="147" t="str">
        <x:v>SCHHA011</x:v>
      </x:c>
      <x:c r="C62" s="147" t="str">
        <x:v>/image/tours/hoi-an-lang-rau-tra-que-01.jpg</x:v>
      </x:c>
      <x:c r="D62" s="147"/>
      <x:c r="E62" s="147" t="str">
        <x:v>cover</x:v>
      </x:c>
      <x:c r="F62" s="147" t="n">
        <x:v>1</x:v>
      </x:c>
      <x:c r="G62" s="147" t="str">
        <x:v>Hội An di sản - rừng dừa Bảy Mẫu - Trà Quế – Hội An di sản - rừng dừa Bảy Mẫu - Trà Quế</x:v>
      </x:c>
      <x:c r="H62" s="147" t="str">
        <x:v>/image/tours/hoi-an-lang-rau-tra-que-01.jpg</x:v>
      </x:c>
      <x:c r="I62" s="147" t="str">
        <x:v>Ảnh local nằm trong frontend/public/image/tours; CSDL chỉ lưu URL bắt đầu bằng /image/tours/.</x:v>
      </x:c>
      <x:c r="J62" s="127" t="str">
        <x:v>local_asset</x:v>
      </x:c>
      <x:c r="K62" s="93" t="str">
        <x:v>https://i.pinimg.com/736x/a6/f9/2e/a6f92ed32526a0b16c257a645e4034fc.jpg</x:v>
      </x:c>
    </x:row>
    <x:row r="63">
      <x:c r="A63" s="161" t="str">
        <x:v>IMG-SCHHA011-02</x:v>
      </x:c>
      <x:c r="B63" s="147" t="str">
        <x:v>SCHHA011</x:v>
      </x:c>
      <x:c r="C63" s="147" t="str">
        <x:v>/image/tours/hoi-an-pho-co-den-long-01.jpg</x:v>
      </x:c>
      <x:c r="D63" s="147"/>
      <x:c r="E63" s="147" t="str">
        <x:v>gallery</x:v>
      </x:c>
      <x:c r="F63" s="147" t="n">
        <x:v>2</x:v>
      </x:c>
      <x:c r="G63" s="147" t="str">
        <x:v>Lớp nấu ăn làng rau Trà Quế – Hội An di sản - rừng dừa Bảy Mẫu - Trà Quế</x:v>
      </x:c>
      <x:c r="H63" s="147" t="str">
        <x:v>/image/tours/hoi-an-pho-co-den-long-01.jpg</x:v>
      </x:c>
      <x:c r="I63" s="147" t="str">
        <x:v>Ảnh local nằm trong frontend/public/image/tours; CSDL chỉ lưu URL bắt đầu bằng /image/tours/.</x:v>
      </x:c>
      <x:c r="J63" s="127" t="str">
        <x:v>local_asset</x:v>
      </x:c>
      <x:c r="K63" s="93" t="str">
        <x:v>https://i.pinimg.com/736x/67/cd/79/67cd79e84f7cc6c35a6817ebbb753caa.jpg</x:v>
      </x:c>
    </x:row>
    <x:row r="64">
      <x:c r="A64" s="161" t="str">
        <x:v>IMG-SCHHA011-03</x:v>
      </x:c>
      <x:c r="B64" s="147" t="str">
        <x:v>SCHHA011</x:v>
      </x:c>
      <x:c r="C64" s="147" t="str">
        <x:v>/image/tours/hoi-an-pho-co-den-long-02.jpg</x:v>
      </x:c>
      <x:c r="D64" s="147"/>
      <x:c r="E64" s="147" t="str">
        <x:v>gallery</x:v>
      </x:c>
      <x:c r="F64" s="147" t="n">
        <x:v>3</x:v>
      </x:c>
      <x:c r="G64" s="147" t="str">
        <x:v>Thuyền thúng rừng dừa Bảy Mẫu – Hội An di sản - rừng dừa Bảy Mẫu - Trà Quế</x:v>
      </x:c>
      <x:c r="H64" s="147" t="str">
        <x:v>/image/tours/hoi-an-pho-co-den-long-02.jpg</x:v>
      </x:c>
      <x:c r="I64" s="147" t="str">
        <x:v>Ảnh local nằm trong frontend/public/image/tours; CSDL chỉ lưu URL bắt đầu bằng /image/tours/.</x:v>
      </x:c>
      <x:c r="J64" s="127" t="str">
        <x:v>local_asset</x:v>
      </x:c>
      <x:c r="K64" s="93" t="str">
        <x:v>https://i.pinimg.com/1200x/20/91/54/209154787a463e0549849949116665c1.jpg</x:v>
      </x:c>
    </x:row>
    <x:row r="65">
      <x:c r="A65" s="161" t="str">
        <x:v>IMG-SCHHA011-04</x:v>
      </x:c>
      <x:c r="B65" s="147" t="str">
        <x:v>SCHHA011</x:v>
      </x:c>
      <x:c r="C65" s="147" t="str">
        <x:v>/image/tours/hoi-an-song-hoai-hoa-dang-01.jpg</x:v>
      </x:c>
      <x:c r="D65" s="147"/>
      <x:c r="E65" s="147" t="str">
        <x:v>gallery</x:v>
      </x:c>
      <x:c r="F65" s="147" t="n">
        <x:v>4</x:v>
      </x:c>
      <x:c r="G65" s="147" t="str">
        <x:v>Phố cổ Hội An buổi tối – Hội An di sản - rừng dừa Bảy Mẫu - Trà Quế</x:v>
      </x:c>
      <x:c r="H65" s="147" t="str">
        <x:v>/image/tours/hoi-an-song-hoai-hoa-dang-01.jpg</x:v>
      </x:c>
      <x:c r="I65" s="147" t="str">
        <x:v>Ảnh local nằm trong frontend/public/image/tours; CSDL chỉ lưu URL bắt đầu bằng /image/tours/.</x:v>
      </x:c>
      <x:c r="J65" s="127" t="str">
        <x:v>local_asset</x:v>
      </x:c>
      <x:c r="K65" s="93" t="str">
        <x:v>https://i.pinimg.com/736x/72/fb/66/72fb66407e9d4bae2baca3d5d6976a50.jpg</x:v>
      </x:c>
    </x:row>
    <x:row r="66">
      <x:c r="A66" s="161" t="str">
        <x:v>IMG-SCHHA011-05</x:v>
      </x:c>
      <x:c r="B66" s="147" t="str">
        <x:v>SCHHA011</x:v>
      </x:c>
      <x:c r="C66" s="147" t="str">
        <x:v>/image/tours/hoi-an-song-hoai-ban-dem-01.jpg</x:v>
      </x:c>
      <x:c r="D66" s="147"/>
      <x:c r="E66" s="147" t="str">
        <x:v>gallery</x:v>
      </x:c>
      <x:c r="F66" s="147" t="n">
        <x:v>5</x:v>
      </x:c>
      <x:c r="G66" s="147" t="str">
        <x:v>Eco homestay gần phố cổ Hội An – Hội An di sản - rừng dừa Bảy Mẫu - Trà Quế</x:v>
      </x:c>
      <x:c r="H66" s="147" t="str">
        <x:v>/image/tours/hoi-an-song-hoai-ban-dem-01.jpg</x:v>
      </x:c>
      <x:c r="I66" s="147" t="str">
        <x:v>Ảnh local nằm trong frontend/public/image/tours; CSDL chỉ lưu URL bắt đầu bằng /image/tours/.</x:v>
      </x:c>
      <x:c r="J66" s="127" t="str">
        <x:v>local_asset</x:v>
      </x:c>
      <x:c r="K66" s="93" t="str">
        <x:v>https://i.pinimg.com/1200x/9a/8e/80/9a8e809b96b1bb611aabf4e2a8680670.jpg</x:v>
      </x:c>
    </x:row>
    <x:row r="67">
      <x:c r="A67" s="161" t="str">
        <x:v>IMG-SCHHA011-06</x:v>
      </x:c>
      <x:c r="B67" s="147" t="str">
        <x:v>SCHHA011</x:v>
      </x:c>
      <x:c r="C67" s="147" t="str">
        <x:v>/image/tours/hoi-an-pho-co-xe-dap-01.jpg</x:v>
      </x:c>
      <x:c r="D67" s="147"/>
      <x:c r="E67" s="147" t="str">
        <x:v>gallery</x:v>
      </x:c>
      <x:c r="F67" s="147" t="n">
        <x:v>6</x:v>
      </x:c>
      <x:c r="G67" s="147" t="str">
        <x:v>Xe điện/xe ghép Đà Nẵng - Hội An – Hội An di sản - rừng dừa Bảy Mẫu - Trà Quế</x:v>
      </x:c>
      <x:c r="H67" s="147" t="str">
        <x:v>/image/tours/hoi-an-pho-co-xe-dap-01.jpg</x:v>
      </x:c>
      <x:c r="I67" s="147" t="str">
        <x:v>Ảnh local nằm trong frontend/public/image/tours; CSDL chỉ lưu URL bắt đầu bằng /image/tours/.</x:v>
      </x:c>
      <x:c r="J67" s="127" t="str">
        <x:v>local_asset</x:v>
      </x:c>
      <x:c r="K67" s="93" t="str">
        <x:v>https://i.pinimg.com/736x/b0/0e/34/b00e344658c05b3980d1b99da0a3418a.jpg</x:v>
      </x:c>
    </x:row>
    <x:row r="68">
      <x:c r="A68" s="161" t="str">
        <x:v>IMG-SCHHA012-01</x:v>
      </x:c>
      <x:c r="B68" s="147" t="str">
        <x:v>SCHHA012</x:v>
      </x:c>
      <x:c r="C68" s="147" t="str">
        <x:v>/image/tours/hoi-an-chua-cau-01.jpg</x:v>
      </x:c>
      <x:c r="D68" s="147"/>
      <x:c r="E68" s="147" t="str">
        <x:v>cover</x:v>
      </x:c>
      <x:c r="F68" s="147" t="n">
        <x:v>1</x:v>
      </x:c>
      <x:c r="G68" s="147" t="str">
        <x:v>Ngũ Hành Sơn - Cù Lao Chàm - phố Hội – Ngũ Hành Sơn - Cù Lao Chàm - phố Hội</x:v>
      </x:c>
      <x:c r="H68" s="147" t="str">
        <x:v>/image/tours/hoi-an-chua-cau-01.jpg</x:v>
      </x:c>
      <x:c r="I68" s="147" t="str">
        <x:v>Ảnh local nằm trong frontend/public/image/tours; CSDL chỉ lưu URL bắt đầu bằng /image/tours/.</x:v>
      </x:c>
      <x:c r="J68" s="127" t="str">
        <x:v>local_asset</x:v>
      </x:c>
      <x:c r="K68" s="93" t="str">
        <x:v>https://i.pinimg.com/1200x/51/8a/24/518a24abfd5bf366aaea50f79fc67644.jpg</x:v>
      </x:c>
    </x:row>
    <x:row r="69">
      <x:c r="A69" s="161" t="str">
        <x:v>IMG-SCHHA012-02</x:v>
      </x:c>
      <x:c r="B69" s="147" t="str">
        <x:v>SCHHA012</x:v>
      </x:c>
      <x:c r="C69" s="147" t="str">
        <x:v>/image/tours/hoi-an-pho-co-den-long-01.jpg</x:v>
      </x:c>
      <x:c r="D69" s="147"/>
      <x:c r="E69" s="147" t="str">
        <x:v>gallery</x:v>
      </x:c>
      <x:c r="F69" s="147" t="n">
        <x:v>2</x:v>
      </x:c>
      <x:c r="G69" s="147" t="str">
        <x:v>Khám phá Ngũ Hành Sơn – Ngũ Hành Sơn - Cù Lao Chàm - phố Hội</x:v>
      </x:c>
      <x:c r="H69" s="147" t="str">
        <x:v>/image/tours/hoi-an-pho-co-den-long-01.jpg</x:v>
      </x:c>
      <x:c r="I69" s="147" t="str">
        <x:v>Ảnh local nằm trong frontend/public/image/tours; CSDL chỉ lưu URL bắt đầu bằng /image/tours/.</x:v>
      </x:c>
      <x:c r="J69" s="127" t="str">
        <x:v>local_asset</x:v>
      </x:c>
      <x:c r="K69" s="93" t="str">
        <x:v>https://i.pinimg.com/736x/cc/73/e2/cc73e2cbfec31c9331494fe1117b8085.jpg</x:v>
      </x:c>
    </x:row>
    <x:row r="70">
      <x:c r="A70" s="161" t="str">
        <x:v>IMG-SCHHA012-03</x:v>
      </x:c>
      <x:c r="B70" s="147" t="str">
        <x:v>SCHHA012</x:v>
      </x:c>
      <x:c r="C70" s="147" t="str">
        <x:v>/image/tours/hoi-an-song-hoai-hoa-dang-01.jpg</x:v>
      </x:c>
      <x:c r="D70" s="147"/>
      <x:c r="E70" s="147" t="str">
        <x:v>gallery</x:v>
      </x:c>
      <x:c r="F70" s="147" t="n">
        <x:v>3</x:v>
      </x:c>
      <x:c r="G70" s="147" t="str">
        <x:v>Xe điện/xe ghép Đà Nẵng - Hội An – Ngũ Hành Sơn - Cù Lao Chàm - phố Hội</x:v>
      </x:c>
      <x:c r="H70" s="147" t="str">
        <x:v>/image/tours/hoi-an-song-hoai-hoa-dang-01.jpg</x:v>
      </x:c>
      <x:c r="I70" s="147" t="str">
        <x:v>Ảnh local nằm trong frontend/public/image/tours; CSDL chỉ lưu URL bắt đầu bằng /image/tours/.</x:v>
      </x:c>
      <x:c r="J70" s="127" t="str">
        <x:v>local_asset</x:v>
      </x:c>
      <x:c r="K70" s="93" t="str">
        <x:v>https://i.pinimg.com/736x/b0/0e/34/b00e344658c05b3980d1b99da0a3418a.jpg</x:v>
      </x:c>
    </x:row>
    <x:row r="71">
      <x:c r="A71" s="161" t="str">
        <x:v>IMG-SCHHA012-04</x:v>
      </x:c>
      <x:c r="B71" s="147" t="str">
        <x:v>SCHHA012</x:v>
      </x:c>
      <x:c r="C71" s="147" t="str">
        <x:v>/image/tours/da-nang-bien-my-khe-01.jpg</x:v>
      </x:c>
      <x:c r="D71" s="147"/>
      <x:c r="E71" s="147" t="str">
        <x:v>gallery</x:v>
      </x:c>
      <x:c r="F71" s="147" t="n">
        <x:v>4</x:v>
      </x:c>
      <x:c r="G71" s="147" t="str">
        <x:v>Phố cổ Hội An buổi tối – Ngũ Hành Sơn - Cù Lao Chàm - phố Hội</x:v>
      </x:c>
      <x:c r="H71" s="147" t="str">
        <x:v>/image/tours/da-nang-bien-my-khe-01.jpg</x:v>
      </x:c>
      <x:c r="I71" s="147" t="str">
        <x:v>Ảnh local nằm trong frontend/public/image/tours; CSDL chỉ lưu URL bắt đầu bằng /image/tours/.</x:v>
      </x:c>
      <x:c r="J71" s="127" t="str">
        <x:v>local_asset</x:v>
      </x:c>
      <x:c r="K71" s="93" t="str">
        <x:v>https://i.pinimg.com/736x/72/fb/66/72fb66407e9d4bae2baca3d5d6976a50.jpg</x:v>
      </x:c>
    </x:row>
    <x:row r="72">
      <x:c r="A72" s="161" t="str">
        <x:v>IMG-SCHHA012-05</x:v>
      </x:c>
      <x:c r="B72" s="147" t="str">
        <x:v>SCHHA012</x:v>
      </x:c>
      <x:c r="C72" s="147" t="str">
        <x:v>/image/tours/da-nang-son-tra-rung-xanh-01.jpg</x:v>
      </x:c>
      <x:c r="D72" s="147"/>
      <x:c r="E72" s="147" t="str">
        <x:v>gallery</x:v>
      </x:c>
      <x:c r="F72" s="147" t="n">
        <x:v>5</x:v>
      </x:c>
      <x:c r="G72" s="147" t="str">
        <x:v>Eco homestay gần phố cổ Hội An – Ngũ Hành Sơn - Cù Lao Chàm - phố Hội</x:v>
      </x:c>
      <x:c r="H72" s="147" t="str">
        <x:v>/image/tours/da-nang-son-tra-rung-xanh-01.jpg</x:v>
      </x:c>
      <x:c r="I72" s="147" t="str">
        <x:v>Ảnh local nằm trong frontend/public/image/tours; CSDL chỉ lưu URL bắt đầu bằng /image/tours/.</x:v>
      </x:c>
      <x:c r="J72" s="127" t="str">
        <x:v>local_asset</x:v>
      </x:c>
      <x:c r="K72" s="93" t="str">
        <x:v>https://i.pinimg.com/1200x/9a/8e/80/9a8e809b96b1bb611aabf4e2a8680670.jpg</x:v>
      </x:c>
    </x:row>
    <x:row r="73">
      <x:c r="A73" s="166" t="str">
        <x:v>IMG-SCHHA012-06</x:v>
      </x:c>
      <x:c r="B73" s="167" t="str">
        <x:v>SCHHA012</x:v>
      </x:c>
      <x:c r="C73" s="127" t="str">
        <x:v>/image/tours/hoi-an-lang-rau-tra-que-01.jpg</x:v>
      </x:c>
      <x:c r="D73" s="127"/>
      <x:c r="E73" s="127" t="str">
        <x:v>gallery</x:v>
      </x:c>
      <x:c r="F73" s="127" t="n">
        <x:v>6</x:v>
      </x:c>
      <x:c r="G73" s="127" t="str">
        <x:v>Cù Lao Chàm snorkeling ít rác – Ngũ Hành Sơn - Cù Lao Chàm - phố Hội</x:v>
      </x:c>
      <x:c r="H73" s="127" t="str">
        <x:v>/image/tours/hoi-an-lang-rau-tra-que-01.jpg</x:v>
      </x:c>
      <x:c r="I73" s="127" t="str">
        <x:v>Ảnh local nằm trong frontend/public/image/tours; CSDL chỉ lưu URL bắt đầu bằng /image/tours/.</x:v>
      </x:c>
      <x:c r="J73" s="127" t="str">
        <x:v>local_asset</x:v>
      </x:c>
      <x:c r="K73" s="93" t="str">
        <x:v>https://i.pinimg.com/736x/10/45/22/104522e091e22eadc9e27768c42bd6f2.jpg</x:v>
      </x:c>
    </x:row>
    <x:row r="74">
      <x:c r="A74" s="192" t="str">
        <x:v>IMG-SCHPY001-07</x:v>
      </x:c>
      <x:c r="B74" s="193" t="str">
        <x:v>SCHPY001</x:v>
      </x:c>
      <x:c r="C74" s="193" t="str">
        <x:v>/image/tours/phu-yen-checkin-ven-bien-01.jpg</x:v>
      </x:c>
      <x:c r="D74" s="193"/>
      <x:c r="E74" s="193" t="str">
        <x:v>gallery</x:v>
      </x:c>
      <x:c r="F74" s="193" t="n">
        <x:v>7</x:v>
      </x:c>
      <x:c r="G74" s="193" t="str">
        <x:v>Bãi Xép - Ghềnh Ông - Tháp Nhạn 1 ngày – Phú Yên xanh: Gành Đá Đĩa - Đầm Ô Loan</x:v>
      </x:c>
      <x:c r="H74" s="193" t="str">
        <x:v>/image/tours/phu-yen-checkin-ven-bien-01.jpg</x:v>
      </x:c>
      <x:c r="I74" s="193" t="str">
        <x:v>Ảnh local nằm trong frontend/public/image/tours; CSDL chỉ lưu URL bắt đầu bằng /image/tours/.</x:v>
      </x:c>
      <x:c r="J74" s="194" t="str">
        <x:v>local_asset</x:v>
      </x:c>
      <x:c r="K74" s="93" t="str">
        <x:v>https://i.pinimg.com/1200x/53/36/64/533664d17c0a350a076c252ee010e5a6.jpg</x:v>
      </x:c>
    </x:row>
    <x:row r="75">
      <x:c r="A75" s="195" t="str">
        <x:v>IMG-SCHPY001-08</x:v>
      </x:c>
      <x:c r="B75" s="147" t="str">
        <x:v>SCHPY001</x:v>
      </x:c>
      <x:c r="C75" s="147" t="str">
        <x:v>/image/tours/phu-yen-bai-bien-dua-01.jpg</x:v>
      </x:c>
      <x:c r="D75" s="147"/>
      <x:c r="E75" s="147" t="str">
        <x:v>gallery</x:v>
      </x:c>
      <x:c r="F75" s="147" t="n">
        <x:v>8</x:v>
      </x:c>
      <x:c r="G75" s="147" t="str">
        <x:v>Hòn Yến - Nhất Tự Sơn - làng chài xanh – Phú Yên xanh: Gành Đá Đĩa - Đầm Ô Loan</x:v>
      </x:c>
      <x:c r="H75" s="147" t="str">
        <x:v>/image/tours/phu-yen-bai-bien-dua-01.jpg</x:v>
      </x:c>
      <x:c r="I75" s="147" t="str">
        <x:v>Ảnh local nằm trong frontend/public/image/tours; CSDL chỉ lưu URL bắt đầu bằng /image/tours/.</x:v>
      </x:c>
      <x:c r="J75" s="196" t="str">
        <x:v>local_asset</x:v>
      </x:c>
      <x:c r="K75" s="93" t="str">
        <x:v>https://i.pinimg.com/1200x/e6/58/65/e658653f875121e5aadc54c25a1b397b.jpg</x:v>
      </x:c>
    </x:row>
    <x:row r="76">
      <x:c r="A76" s="195" t="str">
        <x:v>IMG-SCHPY001-09</x:v>
      </x:c>
      <x:c r="B76" s="147" t="str">
        <x:v>SCHPY001</x:v>
      </x:c>
      <x:c r="C76" s="147" t="str">
        <x:v>/image/tours/phu-yen-bien-trong-01.jpg</x:v>
      </x:c>
      <x:c r="D76" s="147"/>
      <x:c r="E76" s="147" t="str">
        <x:v>gallery</x:v>
      </x:c>
      <x:c r="F76" s="147" t="n">
        <x:v>9</x:v>
      </x:c>
      <x:c r="G76" s="147" t="str">
        <x:v>Bình minh Mũi Điện - Bãi Môn - Vũng Rô – Phú Yên xanh: Gành Đá Đĩa - Đầm Ô Loan</x:v>
      </x:c>
      <x:c r="H76" s="147" t="str">
        <x:v>/image/tours/phu-yen-bien-trong-01.jpg</x:v>
      </x:c>
      <x:c r="I76" s="147" t="str">
        <x:v>Ảnh local nằm trong frontend/public/image/tours; CSDL chỉ lưu URL bắt đầu bằng /image/tours/.</x:v>
      </x:c>
      <x:c r="J76" s="196" t="str">
        <x:v>local_asset</x:v>
      </x:c>
      <x:c r="K76" s="93" t="str">
        <x:v>https://i.pinimg.com/736x/1e/18/72/1e1872a16860e1d8c33c060f422dbd0c.jpg</x:v>
      </x:c>
    </x:row>
    <x:row r="77">
      <x:c r="A77" s="195" t="str">
        <x:v>IMG-SCHPY001-10</x:v>
      </x:c>
      <x:c r="B77" s="147" t="str">
        <x:v>SCHPY001</x:v>
      </x:c>
      <x:c r="C77" s="147" t="str">
        <x:v>/image/tours/phu-yen-bien-dao-minh-hoa-01.jpg</x:v>
      </x:c>
      <x:c r="D77" s="147"/>
      <x:c r="E77" s="147" t="str">
        <x:v>gallery</x:v>
      </x:c>
      <x:c r="F77" s="147" t="n">
        <x:v>10</x:v>
      </x:c>
      <x:c r="G77" s="147" t="str">
        <x:v>Homestay làng chài Hòn Yến giảm nhựa – Phú Yên xanh: Gành Đá Đĩa - Đầm Ô Loan</x:v>
      </x:c>
      <x:c r="H77" s="147" t="str">
        <x:v>/image/tours/phu-yen-bien-dao-minh-hoa-01.jpg</x:v>
      </x:c>
      <x:c r="I77" s="147" t="str">
        <x:v>Ảnh local nằm trong frontend/public/image/tours; CSDL chỉ lưu URL bắt đầu bằng /image/tours/.</x:v>
      </x:c>
      <x:c r="J77" s="196" t="str">
        <x:v>local_asset</x:v>
      </x:c>
      <x:c r="K77" s="93" t="str">
        <x:v>https://i.pinimg.com/736x/e2/4f/59/e24f591500b16e994a8055892f2a7b52.jpg</x:v>
      </x:c>
    </x:row>
    <x:row r="78">
      <x:c r="A78" s="195" t="str">
        <x:v>IMG-SCHPY002-07</x:v>
      </x:c>
      <x:c r="B78" s="147" t="str">
        <x:v>SCHPY002</x:v>
      </x:c>
      <x:c r="C78" s="147" t="str">
        <x:v>/image/tours/phu-yen-bai-da-ven-bien-01.jpg</x:v>
      </x:c>
      <x:c r="D78" s="147"/>
      <x:c r="E78" s="147" t="str">
        <x:v>gallery</x:v>
      </x:c>
      <x:c r="F78" s="147" t="n">
        <x:v>7</x:v>
      </x:c>
      <x:c r="G78" s="147" t="str">
        <x:v>Bãi Xép - Ghềnh Ông - Tháp Nhạn 1 ngày – Bình minh Mũi Điện - Bãi Môn - Vũng Rô</x:v>
      </x:c>
      <x:c r="H78" s="147" t="str">
        <x:v>/image/tours/phu-yen-bai-da-ven-bien-01.jpg</x:v>
      </x:c>
      <x:c r="I78" s="147" t="str">
        <x:v>Ảnh local nằm trong frontend/public/image/tours; CSDL chỉ lưu URL bắt đầu bằng /image/tours/.</x:v>
      </x:c>
      <x:c r="J78" s="196" t="str">
        <x:v>local_asset</x:v>
      </x:c>
      <x:c r="K78" s="93" t="str">
        <x:v>https://i.pinimg.com/1200x/53/36/64/533664d17c0a350a076c252ee010e5a6.jpg</x:v>
      </x:c>
    </x:row>
    <x:row r="79">
      <x:c r="A79" s="195" t="str">
        <x:v>IMG-SCHPY002-08</x:v>
      </x:c>
      <x:c r="B79" s="147" t="str">
        <x:v>SCHPY002</x:v>
      </x:c>
      <x:c r="C79" s="147" t="str">
        <x:v>/image/tours/phu-yen-bien-dao-minh-hoa-01.jpg</x:v>
      </x:c>
      <x:c r="D79" s="147"/>
      <x:c r="E79" s="147" t="str">
        <x:v>gallery</x:v>
      </x:c>
      <x:c r="F79" s="147" t="n">
        <x:v>8</x:v>
      </x:c>
      <x:c r="G79" s="147" t="str">
        <x:v>Trekking nhẹ Bãi Xép - Ghềnh Ông – Bình minh Mũi Điện - Bãi Môn - Vũng Rô</x:v>
      </x:c>
      <x:c r="H79" s="147" t="str">
        <x:v>/image/tours/phu-yen-bien-dao-minh-hoa-01.jpg</x:v>
      </x:c>
      <x:c r="I79" s="147" t="str">
        <x:v>Ảnh local nằm trong frontend/public/image/tours; CSDL chỉ lưu URL bắt đầu bằng /image/tours/.</x:v>
      </x:c>
      <x:c r="J79" s="196" t="str">
        <x:v>local_asset</x:v>
      </x:c>
      <x:c r="K79" s="93" t="str">
        <x:v>https://i.pinimg.com/1200x/9b/43/5f/9b435f463cb84aa6065b3c0c44eec4cc.jpg</x:v>
      </x:c>
    </x:row>
    <x:row r="80">
      <x:c r="A80" s="195" t="str">
        <x:v>IMG-SCHPY002-09</x:v>
      </x:c>
      <x:c r="B80" s="147" t="str">
        <x:v>SCHPY002</x:v>
      </x:c>
      <x:c r="C80" s="147" t="str">
        <x:v>/image/tours/phu-yen-canh-quan-xanh-01.jpg</x:v>
      </x:c>
      <x:c r="D80" s="147"/>
      <x:c r="E80" s="147" t="str">
        <x:v>gallery</x:v>
      </x:c>
      <x:c r="F80" s="147" t="n">
        <x:v>9</x:v>
      </x:c>
      <x:c r="G80" s="147" t="str">
        <x:v>Hòn Yến - Nhất Tự Sơn - làng chài xanh – Bình minh Mũi Điện - Bãi Môn - Vũng Rô</x:v>
      </x:c>
      <x:c r="H80" s="147" t="str">
        <x:v>/image/tours/phu-yen-canh-quan-xanh-01.jpg</x:v>
      </x:c>
      <x:c r="I80" s="147" t="str">
        <x:v>Ảnh local nằm trong frontend/public/image/tours; CSDL chỉ lưu URL bắt đầu bằng /image/tours/.</x:v>
      </x:c>
      <x:c r="J80" s="196" t="str">
        <x:v>local_asset</x:v>
      </x:c>
      <x:c r="K80" s="93" t="str">
        <x:v>https://i.pinimg.com/1200x/e6/58/65/e658653f875121e5aadc54c25a1b397b.jpg</x:v>
      </x:c>
    </x:row>
    <x:row r="81">
      <x:c r="A81" s="195" t="str">
        <x:v>IMG-SCHPY002-10</x:v>
      </x:c>
      <x:c r="B81" s="147" t="str">
        <x:v>SCHPY002</x:v>
      </x:c>
      <x:c r="C81" s="147" t="str">
        <x:v>/image/tours/phu-yen-bai-xep-checkin-01.jpg</x:v>
      </x:c>
      <x:c r="D81" s="147"/>
      <x:c r="E81" s="147" t="str">
        <x:v>gallery</x:v>
      </x:c>
      <x:c r="F81" s="147" t="n">
        <x:v>10</x:v>
      </x:c>
      <x:c r="G81" s="147" t="str">
        <x:v>Ngắm san hô Hòn Yến khi thủy triều xuống – Bình minh Mũi Điện - Bãi Môn - Vũng Rô</x:v>
      </x:c>
      <x:c r="H81" s="147" t="str">
        <x:v>/image/tours/phu-yen-bai-xep-checkin-01.jpg</x:v>
      </x:c>
      <x:c r="I81" s="147" t="str">
        <x:v>Ảnh local nằm trong frontend/public/image/tours; CSDL chỉ lưu URL bắt đầu bằng /image/tours/.</x:v>
      </x:c>
      <x:c r="J81" s="196" t="str">
        <x:v>local_asset</x:v>
      </x:c>
      <x:c r="K81" s="93" t="str">
        <x:v>https://i.pinimg.com/736x/3f/87/0e/3f870eb589c0b29dd95402a8acf8cf25.jpg</x:v>
      </x:c>
    </x:row>
    <x:row r="82">
      <x:c r="A82" s="195" t="str">
        <x:v>IMG-SCHPY003-07</x:v>
      </x:c>
      <x:c r="B82" s="147" t="str">
        <x:v>SCHPY003</x:v>
      </x:c>
      <x:c r="C82" s="147" t="str">
        <x:v>/image/tours/phu-yen-canh-quan-xanh-01.jpg</x:v>
      </x:c>
      <x:c r="D82" s="147"/>
      <x:c r="E82" s="147" t="str">
        <x:v>gallery</x:v>
      </x:c>
      <x:c r="F82" s="147" t="n">
        <x:v>7</x:v>
      </x:c>
      <x:c r="G82" s="147" t="str">
        <x:v>Hòn Yến - Nhất Tự Sơn - làng chài xanh – Bãi Xép - Ghềnh Ông - Tháp Nhạn 1 ngày</x:v>
      </x:c>
      <x:c r="H82" s="147" t="str">
        <x:v>/image/tours/phu-yen-canh-quan-xanh-01.jpg</x:v>
      </x:c>
      <x:c r="I82" s="147" t="str">
        <x:v>Ảnh local nằm trong frontend/public/image/tours; CSDL chỉ lưu URL bắt đầu bằng /image/tours/.</x:v>
      </x:c>
      <x:c r="J82" s="196" t="str">
        <x:v>local_asset</x:v>
      </x:c>
      <x:c r="K82" s="93" t="str">
        <x:v>https://i.pinimg.com/1200x/e6/58/65/e658653f875121e5aadc54c25a1b397b.jpg</x:v>
      </x:c>
    </x:row>
    <x:row r="83">
      <x:c r="A83" s="195" t="str">
        <x:v>IMG-SCHPY003-08</x:v>
      </x:c>
      <x:c r="B83" s="147" t="str">
        <x:v>SCHPY003</x:v>
      </x:c>
      <x:c r="C83" s="147" t="str">
        <x:v>/image/tours/phu-yen-bien-trong-01.jpg</x:v>
      </x:c>
      <x:c r="D83" s="147"/>
      <x:c r="E83" s="147" t="str">
        <x:v>gallery</x:v>
      </x:c>
      <x:c r="F83" s="147" t="n">
        <x:v>8</x:v>
      </x:c>
      <x:c r="G83" s="147" t="str">
        <x:v>Bình minh Mũi Điện - Bãi Môn - Vũng Rô – Bãi Xép - Ghềnh Ông - Tháp Nhạn 1 ngày</x:v>
      </x:c>
      <x:c r="H83" s="147" t="str">
        <x:v>/image/tours/phu-yen-bien-trong-01.jpg</x:v>
      </x:c>
      <x:c r="I83" s="147" t="str">
        <x:v>Ảnh local nằm trong frontend/public/image/tours; CSDL chỉ lưu URL bắt đầu bằng /image/tours/.</x:v>
      </x:c>
      <x:c r="J83" s="196" t="str">
        <x:v>local_asset</x:v>
      </x:c>
      <x:c r="K83" s="93" t="str">
        <x:v>https://i.pinimg.com/736x/1e/18/72/1e1872a16860e1d8c33c060f422dbd0c.jpg</x:v>
      </x:c>
    </x:row>
    <x:row r="84">
      <x:c r="A84" s="195" t="str">
        <x:v>IMG-SCHPY003-09</x:v>
      </x:c>
      <x:c r="B84" s="147" t="str">
        <x:v>SCHPY003</x:v>
      </x:c>
      <x:c r="C84" s="147" t="str">
        <x:v>/image/tours/phu-yen-lang-chai-vung-ro-01.jpg</x:v>
      </x:c>
      <x:c r="D84" s="147"/>
      <x:c r="E84" s="147" t="str">
        <x:v>gallery</x:v>
      </x:c>
      <x:c r="F84" s="147" t="n">
        <x:v>9</x:v>
      </x:c>
      <x:c r="G84" s="147" t="str">
        <x:v>Ngắm san hô Hòn Yến khi thủy triều xuống – Bãi Xép - Ghềnh Ông - Tháp Nhạn 1 ngày</x:v>
      </x:c>
      <x:c r="H84" s="147" t="str">
        <x:v>/image/tours/phu-yen-lang-chai-vung-ro-01.jpg</x:v>
      </x:c>
      <x:c r="I84" s="147" t="str">
        <x:v>Ảnh local nằm trong frontend/public/image/tours; CSDL chỉ lưu URL bắt đầu bằng /image/tours/.</x:v>
      </x:c>
      <x:c r="J84" s="196" t="str">
        <x:v>local_asset</x:v>
      </x:c>
      <x:c r="K84" s="93" t="str">
        <x:v>https://i.pinimg.com/736x/3f/87/0e/3f870eb589c0b29dd95402a8acf8cf25.jpg</x:v>
      </x:c>
    </x:row>
    <x:row r="85">
      <x:c r="A85" s="195" t="str">
        <x:v>IMG-SCHPY003-10</x:v>
      </x:c>
      <x:c r="B85" s="147" t="str">
        <x:v>SCHPY003</x:v>
      </x:c>
      <x:c r="C85" s="147" t="str">
        <x:v>/image/tours/phu-yen-bien-dao-minh-hoa-01.jpg</x:v>
      </x:c>
      <x:c r="D85" s="147"/>
      <x:c r="E85" s="147" t="str">
        <x:v>gallery</x:v>
      </x:c>
      <x:c r="F85" s="147" t="n">
        <x:v>10</x:v>
      </x:c>
      <x:c r="G85" s="147" t="str">
        <x:v>Homestay làng chài Hòn Yến giảm nhựa – Bãi Xép - Ghềnh Ông - Tháp Nhạn 1 ngày</x:v>
      </x:c>
      <x:c r="H85" s="147" t="str">
        <x:v>/image/tours/phu-yen-bien-dao-minh-hoa-01.jpg</x:v>
      </x:c>
      <x:c r="I85" s="147" t="str">
        <x:v>Ảnh local nằm trong frontend/public/image/tours; CSDL chỉ lưu URL bắt đầu bằng /image/tours/.</x:v>
      </x:c>
      <x:c r="J85" s="196" t="str">
        <x:v>local_asset</x:v>
      </x:c>
      <x:c r="K85" s="93" t="str">
        <x:v>https://i.pinimg.com/736x/e2/4f/59/e24f591500b16e994a8055892f2a7b52.jpg</x:v>
      </x:c>
    </x:row>
    <x:row r="86">
      <x:c r="A86" s="195" t="str">
        <x:v>IMG-SCHPY004-07</x:v>
      </x:c>
      <x:c r="B86" s="147" t="str">
        <x:v>SCHPY004</x:v>
      </x:c>
      <x:c r="C86" s="147" t="str">
        <x:v>/image/tours/phu-yen-canh-quan-xanh-01.jpg</x:v>
      </x:c>
      <x:c r="D86" s="147"/>
      <x:c r="E86" s="147" t="str">
        <x:v>gallery</x:v>
      </x:c>
      <x:c r="F86" s="147" t="n">
        <x:v>7</x:v>
      </x:c>
      <x:c r="G86" s="147" t="str">
        <x:v>Bãi Xép - Ghềnh Ông - Tháp Nhạn 1 ngày – Hòn Yến - Nhất Tự Sơn - làng chài xanh</x:v>
      </x:c>
      <x:c r="H86" s="147" t="str">
        <x:v>/image/tours/phu-yen-canh-quan-xanh-01.jpg</x:v>
      </x:c>
      <x:c r="I86" s="147" t="str">
        <x:v>Ảnh local nằm trong frontend/public/image/tours; CSDL chỉ lưu URL bắt đầu bằng /image/tours/.</x:v>
      </x:c>
      <x:c r="J86" s="196" t="str">
        <x:v>local_asset</x:v>
      </x:c>
      <x:c r="K86" s="93" t="str">
        <x:v>https://i.pinimg.com/1200x/53/36/64/533664d17c0a350a076c252ee010e5a6.jpg</x:v>
      </x:c>
    </x:row>
    <x:row r="87">
      <x:c r="A87" s="195" t="str">
        <x:v>IMG-SCHPY004-08</x:v>
      </x:c>
      <x:c r="B87" s="147" t="str">
        <x:v>SCHPY004</x:v>
      </x:c>
      <x:c r="C87" s="147" t="str">
        <x:v>/image/tours/phu-yen-bai-xep-checkin-01.jpg</x:v>
      </x:c>
      <x:c r="D87" s="147"/>
      <x:c r="E87" s="147" t="str">
        <x:v>gallery</x:v>
      </x:c>
      <x:c r="F87" s="147" t="n">
        <x:v>8</x:v>
      </x:c>
      <x:c r="G87" s="147" t="str">
        <x:v>Trekking nhẹ Bãi Xép - Ghềnh Ông – Hòn Yến - Nhất Tự Sơn - làng chài xanh</x:v>
      </x:c>
      <x:c r="H87" s="147" t="str">
        <x:v>/image/tours/phu-yen-bai-xep-checkin-01.jpg</x:v>
      </x:c>
      <x:c r="I87" s="147" t="str">
        <x:v>Ảnh local nằm trong frontend/public/image/tours; CSDL chỉ lưu URL bắt đầu bằng /image/tours/.</x:v>
      </x:c>
      <x:c r="J87" s="196" t="str">
        <x:v>local_asset</x:v>
      </x:c>
      <x:c r="K87" s="93" t="str">
        <x:v>https://i.pinimg.com/1200x/9b/43/5f/9b435f463cb84aa6065b3c0c44eec4cc.jpg</x:v>
      </x:c>
    </x:row>
    <x:row r="88">
      <x:c r="A88" s="195" t="str">
        <x:v>IMG-SCHPY004-09</x:v>
      </x:c>
      <x:c r="B88" s="147" t="str">
        <x:v>SCHPY004</x:v>
      </x:c>
      <x:c r="C88" s="147" t="str">
        <x:v>/image/tours/phu-yen-mui-dien-bai-mon-01.jpg</x:v>
      </x:c>
      <x:c r="D88" s="147"/>
      <x:c r="E88" s="147" t="str">
        <x:v>gallery</x:v>
      </x:c>
      <x:c r="F88" s="147" t="n">
        <x:v>9</x:v>
      </x:c>
      <x:c r="G88" s="147" t="str">
        <x:v>Check-in Hải đăng Mũi Điện - Bãi Môn – Hòn Yến - Nhất Tự Sơn - làng chài xanh</x:v>
      </x:c>
      <x:c r="H88" s="147" t="str">
        <x:v>/image/tours/phu-yen-mui-dien-bai-mon-01.jpg</x:v>
      </x:c>
      <x:c r="I88" s="147" t="str">
        <x:v>Ảnh local nằm trong frontend/public/image/tours; CSDL chỉ lưu URL bắt đầu bằng /image/tours/.</x:v>
      </x:c>
      <x:c r="J88" s="196" t="str">
        <x:v>local_asset</x:v>
      </x:c>
      <x:c r="K88" s="93" t="str">
        <x:v>https://i.pinimg.com/1200x/a4/54/5a/a4545a58170747ef18d15a28d465bc13.jpg</x:v>
      </x:c>
    </x:row>
    <x:row r="89">
      <x:c r="A89" s="195" t="str">
        <x:v>IMG-SCHPY004-10</x:v>
      </x:c>
      <x:c r="B89" s="147" t="str">
        <x:v>SCHPY004</x:v>
      </x:c>
      <x:c r="C89" s="147" t="str">
        <x:v>/image/tours/phu-yen-bien-dao-minh-hoa-01.jpg</x:v>
      </x:c>
      <x:c r="D89" s="147"/>
      <x:c r="E89" s="147" t="str">
        <x:v>gallery</x:v>
      </x:c>
      <x:c r="F89" s="147" t="n">
        <x:v>10</x:v>
      </x:c>
      <x:c r="G89" s="147" t="str">
        <x:v>Bình minh Mũi Điện - Bãi Môn - Vũng Rô – Hòn Yến - Nhất Tự Sơn - làng chài xanh</x:v>
      </x:c>
      <x:c r="H89" s="147" t="str">
        <x:v>/image/tours/phu-yen-bien-dao-minh-hoa-01.jpg</x:v>
      </x:c>
      <x:c r="I89" s="147" t="str">
        <x:v>Ảnh local nằm trong frontend/public/image/tours; CSDL chỉ lưu URL bắt đầu bằng /image/tours/.</x:v>
      </x:c>
      <x:c r="J89" s="196" t="str">
        <x:v>local_asset</x:v>
      </x:c>
      <x:c r="K89" s="93" t="str">
        <x:v>https://i.pinimg.com/736x/1e/18/72/1e1872a16860e1d8c33c060f422dbd0c.jpg</x:v>
      </x:c>
    </x:row>
    <x:row r="90">
      <x:c r="A90" s="195" t="str">
        <x:v>IMG-SCHDL005-07</x:v>
      </x:c>
      <x:c r="B90" s="147" t="str">
        <x:v>SCHDL005</x:v>
      </x:c>
      <x:c r="C90" s="147" t="str">
        <x:v>/image/tours/da-lat-diem-ngam-thanh-pho-01.jpg</x:v>
      </x:c>
      <x:c r="D90" s="147"/>
      <x:c r="E90" s="147" t="str">
        <x:v>gallery</x:v>
      </x:c>
      <x:c r="F90" s="147" t="n">
        <x:v>7</x:v>
      </x:c>
      <x:c r="G90" s="147" t="str">
        <x:v>Tham quan Chùa Linh Phước – Đà Lạt chill: Hồ Xuân Hương - Quảng trường Lâm Viên</x:v>
      </x:c>
      <x:c r="H90" s="147" t="str">
        <x:v>/image/tours/da-lat-diem-ngam-thanh-pho-01.jpg</x:v>
      </x:c>
      <x:c r="I90" s="147" t="str">
        <x:v>Ảnh local nằm trong frontend/public/image/tours; CSDL chỉ lưu URL bắt đầu bằng /image/tours/.</x:v>
      </x:c>
      <x:c r="J90" s="196" t="str">
        <x:v>local_asset</x:v>
      </x:c>
      <x:c r="K90" s="93" t="str">
        <x:v>https://i.pinimg.com/1200x/50/81/43/5081433e45c77ae665bfade0671c76e4.jpg</x:v>
      </x:c>
    </x:row>
    <x:row r="91">
      <x:c r="A91" s="195" t="str">
        <x:v>IMG-SCHDL005-08</x:v>
      </x:c>
      <x:c r="B91" s="147" t="str">
        <x:v>SCHDL005</x:v>
      </x:c>
      <x:c r="C91" s="147" t="str">
        <x:v>/image/tours/da-lat-duong-mai-anh-dao-01.jpg</x:v>
      </x:c>
      <x:c r="D91" s="147"/>
      <x:c r="E91" s="147" t="str">
        <x:v>gallery</x:v>
      </x:c>
      <x:c r="F91" s="147" t="n">
        <x:v>8</x:v>
      </x:c>
      <x:c r="G91" s="147" t="str">
        <x:v>Langbiang - làng Cù Lần - nông trại cà phê – Đà Lạt chill: Hồ Xuân Hương - Quảng trường Lâm Viên</x:v>
      </x:c>
      <x:c r="H91" s="147" t="str">
        <x:v>/image/tours/da-lat-duong-mai-anh-dao-01.jpg</x:v>
      </x:c>
      <x:c r="I91" s="147" t="str">
        <x:v>Ảnh local nằm trong frontend/public/image/tours; CSDL chỉ lưu URL bắt đầu bằng /image/tours/.</x:v>
      </x:c>
      <x:c r="J91" s="196" t="str">
        <x:v>local_asset</x:v>
      </x:c>
      <x:c r="K91" s="93" t="str">
        <x:v>https://i.pinimg.com/1200x/69/d6/e5/69d6e56299838d8728a7670ed21edd91.jpg</x:v>
      </x:c>
    </x:row>
    <x:row r="92">
      <x:c r="A92" s="195" t="str">
        <x:v>IMG-SCHDL005-09</x:v>
      </x:c>
      <x:c r="B92" s="147" t="str">
        <x:v>SCHDL005</x:v>
      </x:c>
      <x:c r="C92" s="147" t="str">
        <x:v>/image/tours/da-lat-vuon-hoa-01.jpg</x:v>
      </x:c>
      <x:c r="D92" s="147"/>
      <x:c r="E92" s="147" t="str">
        <x:v>gallery</x:v>
      </x:c>
      <x:c r="F92" s="147" t="n">
        <x:v>9</x:v>
      </x:c>
      <x:c r="G92" s="147" t="str">
        <x:v>Hồ Tuyền Lâm - Thiền viện Trúc Lâm - thác Datanla – Đà Lạt chill: Hồ Xuân Hương - Quảng trường Lâm Viên</x:v>
      </x:c>
      <x:c r="H92" s="147" t="str">
        <x:v>/image/tours/da-lat-vuon-hoa-01.jpg</x:v>
      </x:c>
      <x:c r="I92" s="147" t="str">
        <x:v>Ảnh local nằm trong frontend/public/image/tours; CSDL chỉ lưu URL bắt đầu bằng /image/tours/.</x:v>
      </x:c>
      <x:c r="J92" s="196" t="str">
        <x:v>local_asset</x:v>
      </x:c>
      <x:c r="K92" s="93" t="str">
        <x:v>https://i.pinimg.com/1200x/b4/cd/b9/b4cdb9c05718a57d34787052447ca7bf.jpg</x:v>
      </x:c>
    </x:row>
    <x:row r="93">
      <x:c r="A93" s="195" t="str">
        <x:v>IMG-SCHDL005-10</x:v>
      </x:c>
      <x:c r="B93" s="147" t="str">
        <x:v>SCHDL005</x:v>
      </x:c>
      <x:c r="C93" s="147" t="str">
        <x:v>/image/tours/da-lat-kien-truc-co-01.jpg</x:v>
      </x:c>
      <x:c r="D93" s="147"/>
      <x:c r="E93" s="147" t="str">
        <x:v>gallery</x:v>
      </x:c>
      <x:c r="F93" s="147" t="n">
        <x:v>10</x:v>
      </x:c>
      <x:c r="G93" s="147" t="str">
        <x:v>Workshop cà phê Cầu Đất &amp; nông trại hữu cơ – Đà Lạt chill: Hồ Xuân Hương - Quảng trường Lâm Viên</x:v>
      </x:c>
      <x:c r="H93" s="147" t="str">
        <x:v>/image/tours/da-lat-kien-truc-co-01.jpg</x:v>
      </x:c>
      <x:c r="I93" s="147" t="str">
        <x:v>Ảnh local nằm trong frontend/public/image/tours; CSDL chỉ lưu URL bắt đầu bằng /image/tours/.</x:v>
      </x:c>
      <x:c r="J93" s="196" t="str">
        <x:v>local_asset</x:v>
      </x:c>
      <x:c r="K93" s="93" t="str">
        <x:v>https://i.pinimg.com/736x/6b/66/2d/6b662d824945ef388197b07d998f8359.jpg</x:v>
      </x:c>
    </x:row>
    <x:row r="94">
      <x:c r="A94" s="195" t="str">
        <x:v>IMG-SCHDL006-07</x:v>
      </x:c>
      <x:c r="B94" s="147" t="str">
        <x:v>SCHDL006</x:v>
      </x:c>
      <x:c r="C94" s="147" t="str">
        <x:v>/image/tours/da-lat-vuon-hoa-01.jpg</x:v>
      </x:c>
      <x:c r="D94" s="147"/>
      <x:c r="E94" s="147" t="str">
        <x:v>gallery</x:v>
      </x:c>
      <x:c r="F94" s="147" t="n">
        <x:v>7</x:v>
      </x:c>
      <x:c r="G94" s="147" t="str">
        <x:v>Tham quan Thiền viện Trúc Lâm – Langbiang - làng Cù Lần - nông trại cà phê</x:v>
      </x:c>
      <x:c r="H94" s="147" t="str">
        <x:v>/image/tours/da-lat-vuon-hoa-01.jpg</x:v>
      </x:c>
      <x:c r="I94" s="147" t="str">
        <x:v>Ảnh local nằm trong frontend/public/image/tours; CSDL chỉ lưu URL bắt đầu bằng /image/tours/.</x:v>
      </x:c>
      <x:c r="J94" s="196" t="str">
        <x:v>local_asset</x:v>
      </x:c>
      <x:c r="K94" s="93" t="str">
        <x:v>https://i.pinimg.com/1200x/4f/3f/cc/4f3fcc214267658458c9328dd1b4f7d5.jpg</x:v>
      </x:c>
    </x:row>
    <x:row r="95">
      <x:c r="A95" s="195" t="str">
        <x:v>IMG-SCHDL006-08</x:v>
      </x:c>
      <x:c r="B95" s="147" t="str">
        <x:v>SCHDL006</x:v>
      </x:c>
      <x:c r="C95" s="147" t="str">
        <x:v>/image/tours/da-lat-doc-pho-01.jpg</x:v>
      </x:c>
      <x:c r="D95" s="147"/>
      <x:c r="E95" s="147" t="str">
        <x:v>gallery</x:v>
      </x:c>
      <x:c r="F95" s="147" t="n">
        <x:v>8</x:v>
      </x:c>
      <x:c r="G95" s="147" t="str">
        <x:v>Tham quan Chùa Linh Phước – Langbiang - làng Cù Lần - nông trại cà phê</x:v>
      </x:c>
      <x:c r="H95" s="147" t="str">
        <x:v>/image/tours/da-lat-doc-pho-01.jpg</x:v>
      </x:c>
      <x:c r="I95" s="147" t="str">
        <x:v>Ảnh local nằm trong frontend/public/image/tours; CSDL chỉ lưu URL bắt đầu bằng /image/tours/.</x:v>
      </x:c>
      <x:c r="J95" s="196" t="str">
        <x:v>local_asset</x:v>
      </x:c>
      <x:c r="K95" s="93" t="str">
        <x:v>https://i.pinimg.com/1200x/50/81/43/5081433e45c77ae665bfade0671c76e4.jpg</x:v>
      </x:c>
    </x:row>
    <x:row r="96">
      <x:c r="A96" s="195" t="str">
        <x:v>IMG-SCHDL006-09</x:v>
      </x:c>
      <x:c r="B96" s="147" t="str">
        <x:v>SCHDL006</x:v>
      </x:c>
      <x:c r="C96" s="147" t="str">
        <x:v>/image/tours/da-lat-ho-tuyen-lam-01.jpg</x:v>
      </x:c>
      <x:c r="D96" s="147"/>
      <x:c r="E96" s="147" t="str">
        <x:v>gallery</x:v>
      </x:c>
      <x:c r="F96" s="147" t="n">
        <x:v>9</x:v>
      </x:c>
      <x:c r="G96" s="147" t="str">
        <x:v>Hồ Tuyền Lâm - Thiền viện Trúc Lâm - thác Datanla – Langbiang - làng Cù Lần - nông trại cà phê</x:v>
      </x:c>
      <x:c r="H96" s="147" t="str">
        <x:v>/image/tours/da-lat-ho-tuyen-lam-01.jpg</x:v>
      </x:c>
      <x:c r="I96" s="147" t="str">
        <x:v>Ảnh local nằm trong frontend/public/image/tours; CSDL chỉ lưu URL bắt đầu bằng /image/tours/.</x:v>
      </x:c>
      <x:c r="J96" s="196" t="str">
        <x:v>local_asset</x:v>
      </x:c>
      <x:c r="K96" s="93" t="str">
        <x:v>https://i.pinimg.com/1200x/b4/cd/b9/b4cdb9c05718a57d34787052447ca7bf.jpg</x:v>
      </x:c>
    </x:row>
    <x:row r="97">
      <x:c r="A97" s="195" t="str">
        <x:v>IMG-SCHDL006-10</x:v>
      </x:c>
      <x:c r="B97" s="147" t="str">
        <x:v>SCHDL006</x:v>
      </x:c>
      <x:c r="C97" s="147" t="str">
        <x:v>/image/tours/da-lat-duong-ham-dat-set-01.jpg</x:v>
      </x:c>
      <x:c r="D97" s="147"/>
      <x:c r="E97" s="147" t="str">
        <x:v>gallery</x:v>
      </x:c>
      <x:c r="F97" s="147" t="n">
        <x:v>10</x:v>
      </x:c>
      <x:c r="G97" s="147" t="str">
        <x:v>Đà Lạt chill: Hồ Xuân Hương - Quảng trường Lâm Viên – Langbiang - làng Cù Lần - nông trại cà phê</x:v>
      </x:c>
      <x:c r="H97" s="147" t="str">
        <x:v>/image/tours/da-lat-duong-ham-dat-set-01.jpg</x:v>
      </x:c>
      <x:c r="I97" s="147" t="str">
        <x:v>Ảnh local nằm trong frontend/public/image/tours; CSDL chỉ lưu URL bắt đầu bằng /image/tours/.</x:v>
      </x:c>
      <x:c r="J97" s="196" t="str">
        <x:v>local_asset</x:v>
      </x:c>
      <x:c r="K97" s="93" t="str">
        <x:v>https://i.pinimg.com/736x/10/f4/97/10f4970291970e2f773327a6ad723bc0.jpg</x:v>
      </x:c>
    </x:row>
    <x:row r="98">
      <x:c r="A98" s="195" t="str">
        <x:v>IMG-SCHDL007-07</x:v>
      </x:c>
      <x:c r="B98" s="147" t="str">
        <x:v>SCHDL007</x:v>
      </x:c>
      <x:c r="C98" s="147" t="str">
        <x:v>/image/tours/da-lat-rung-thong-san-may-01.jpg</x:v>
      </x:c>
      <x:c r="D98" s="147"/>
      <x:c r="E98" s="147" t="str">
        <x:v>gallery</x:v>
      </x:c>
      <x:c r="F98" s="147" t="n">
        <x:v>7</x:v>
      </x:c>
      <x:c r="G98" s="147" t="str">
        <x:v>Tham quan Chùa Linh Phước – Hồ Tuyền Lâm - Thiền viện Trúc Lâm - thác Datanla</x:v>
      </x:c>
      <x:c r="H98" s="147" t="str">
        <x:v>/image/tours/da-lat-rung-thong-san-may-01.jpg</x:v>
      </x:c>
      <x:c r="I98" s="147" t="str">
        <x:v>Ảnh local nằm trong frontend/public/image/tours; CSDL chỉ lưu URL bắt đầu bằng /image/tours/.</x:v>
      </x:c>
      <x:c r="J98" s="196" t="str">
        <x:v>local_asset</x:v>
      </x:c>
      <x:c r="K98" s="93" t="str">
        <x:v>https://i.pinimg.com/1200x/50/81/43/5081433e45c77ae665bfade0671c76e4.jpg</x:v>
      </x:c>
    </x:row>
    <x:row r="99">
      <x:c r="A99" s="195" t="str">
        <x:v>IMG-SCHDL007-08</x:v>
      </x:c>
      <x:c r="B99" s="147" t="str">
        <x:v>SCHDL007</x:v>
      </x:c>
      <x:c r="C99" s="147" t="str">
        <x:v>/image/tours/da-lat-diem-ngam-thanh-pho-01.jpg</x:v>
      </x:c>
      <x:c r="D99" s="147"/>
      <x:c r="E99" s="147" t="str">
        <x:v>gallery</x:v>
      </x:c>
      <x:c r="F99" s="147" t="n">
        <x:v>8</x:v>
      </x:c>
      <x:c r="G99" s="147" t="str">
        <x:v>Langbiang - làng Cù Lần - nông trại cà phê – Hồ Tuyền Lâm - Thiền viện Trúc Lâm - thác Datanla</x:v>
      </x:c>
      <x:c r="H99" s="147" t="str">
        <x:v>/image/tours/da-lat-diem-ngam-thanh-pho-01.jpg</x:v>
      </x:c>
      <x:c r="I99" s="147" t="str">
        <x:v>Ảnh local nằm trong frontend/public/image/tours; CSDL chỉ lưu URL bắt đầu bằng /image/tours/.</x:v>
      </x:c>
      <x:c r="J99" s="196" t="str">
        <x:v>local_asset</x:v>
      </x:c>
      <x:c r="K99" s="93" t="str">
        <x:v>https://i.pinimg.com/1200x/69/d6/e5/69d6e56299838d8728a7670ed21edd91.jpg</x:v>
      </x:c>
    </x:row>
    <x:row r="100">
      <x:c r="A100" s="195" t="str">
        <x:v>IMG-SCHDL007-09</x:v>
      </x:c>
      <x:c r="B100" s="147" t="str">
        <x:v>SCHDL007</x:v>
      </x:c>
      <x:c r="C100" s="147" t="str">
        <x:v>/image/tours/da-lat-vuon-hoa-01.jpg</x:v>
      </x:c>
      <x:c r="D100" s="147"/>
      <x:c r="E100" s="147" t="str">
        <x:v>gallery</x:v>
      </x:c>
      <x:c r="F100" s="147" t="n">
        <x:v>9</x:v>
      </x:c>
      <x:c r="G100" s="147" t="str">
        <x:v>Trekking Langbiang cùng hướng dẫn viên bản địa – Hồ Tuyền Lâm - Thiền viện Trúc Lâm - thác Datanla</x:v>
      </x:c>
      <x:c r="H100" s="147" t="str">
        <x:v>/image/tours/da-lat-vuon-hoa-01.jpg</x:v>
      </x:c>
      <x:c r="I100" s="147" t="str">
        <x:v>Ảnh local nằm trong frontend/public/image/tours; CSDL chỉ lưu URL bắt đầu bằng /image/tours/.</x:v>
      </x:c>
      <x:c r="J100" s="196" t="str">
        <x:v>local_asset</x:v>
      </x:c>
      <x:c r="K100" s="93" t="str">
        <x:v>https://i.pinimg.com/1200x/ce/2c/ca/ce2ccaa3ae760d552f1f7a765572239f.jpg</x:v>
      </x:c>
    </x:row>
    <x:row r="101">
      <x:c r="A101" s="195" t="str">
        <x:v>IMG-SCHDL007-10</x:v>
      </x:c>
      <x:c r="B101" s="147" t="str">
        <x:v>SCHDL007</x:v>
      </x:c>
      <x:c r="C101" s="147" t="str">
        <x:v>/image/tours/da-lat-toan-canh-thanh-pho-01.jpg</x:v>
      </x:c>
      <x:c r="D101" s="147"/>
      <x:c r="E101" s="147" t="str">
        <x:v>gallery</x:v>
      </x:c>
      <x:c r="F101" s="147" t="n">
        <x:v>10</x:v>
      </x:c>
      <x:c r="G101" s="147" t="str">
        <x:v>Đà Lạt chill: Hồ Xuân Hương - Quảng trường Lâm Viên – Hồ Tuyền Lâm - Thiền viện Trúc Lâm - thác Datanla</x:v>
      </x:c>
      <x:c r="H101" s="147" t="str">
        <x:v>/image/tours/da-lat-toan-canh-thanh-pho-01.jpg</x:v>
      </x:c>
      <x:c r="I101" s="147" t="str">
        <x:v>Ảnh local nằm trong frontend/public/image/tours; CSDL chỉ lưu URL bắt đầu bằng /image/tours/.</x:v>
      </x:c>
      <x:c r="J101" s="196" t="str">
        <x:v>local_asset</x:v>
      </x:c>
      <x:c r="K101" s="93" t="str">
        <x:v>https://i.pinimg.com/736x/10/f4/97/10f4970291970e2f773327a6ad723bc0.jpg</x:v>
      </x:c>
    </x:row>
    <x:row r="102">
      <x:c r="A102" s="195" t="str">
        <x:v>IMG-SCHDL008-07</x:v>
      </x:c>
      <x:c r="B102" s="147" t="str">
        <x:v>SCHDL008</x:v>
      </x:c>
      <x:c r="C102" s="147" t="str">
        <x:v>/image/tours/da-lat-diem-ngam-thanh-pho-01.jpg</x:v>
      </x:c>
      <x:c r="D102" s="147"/>
      <x:c r="E102" s="147" t="str">
        <x:v>gallery</x:v>
      </x:c>
      <x:c r="F102" s="147" t="n">
        <x:v>7</x:v>
      </x:c>
      <x:c r="G102" s="147" t="str">
        <x:v>Tham quan Thiền viện Trúc Lâm – Săn mây Cầu Đất - Chùa Linh Phước - vườn hoa</x:v>
      </x:c>
      <x:c r="H102" s="147" t="str">
        <x:v>/image/tours/da-lat-diem-ngam-thanh-pho-01.jpg</x:v>
      </x:c>
      <x:c r="I102" s="147" t="str">
        <x:v>Ảnh local nằm trong frontend/public/image/tours; CSDL chỉ lưu URL bắt đầu bằng /image/tours/.</x:v>
      </x:c>
      <x:c r="J102" s="196" t="str">
        <x:v>local_asset</x:v>
      </x:c>
      <x:c r="K102" s="93" t="str">
        <x:v>https://i.pinimg.com/1200x/4f/3f/cc/4f3fcc214267658458c9328dd1b4f7d5.jpg</x:v>
      </x:c>
    </x:row>
    <x:row r="103">
      <x:c r="A103" s="195" t="str">
        <x:v>IMG-SCHDL008-08</x:v>
      </x:c>
      <x:c r="B103" s="147" t="str">
        <x:v>SCHDL008</x:v>
      </x:c>
      <x:c r="C103" s="147" t="str">
        <x:v>/image/tours/da-lat-rung-thong-01.jpg</x:v>
      </x:c>
      <x:c r="D103" s="147"/>
      <x:c r="E103" s="147" t="str">
        <x:v>gallery</x:v>
      </x:c>
      <x:c r="F103" s="147" t="n">
        <x:v>8</x:v>
      </x:c>
      <x:c r="G103" s="147" t="str">
        <x:v>Langbiang - làng Cù Lần - nông trại cà phê – Săn mây Cầu Đất - Chùa Linh Phước - vườn hoa</x:v>
      </x:c>
      <x:c r="H103" s="147" t="str">
        <x:v>/image/tours/da-lat-rung-thong-01.jpg</x:v>
      </x:c>
      <x:c r="I103" s="147" t="str">
        <x:v>Ảnh local nằm trong frontend/public/image/tours; CSDL chỉ lưu URL bắt đầu bằng /image/tours/.</x:v>
      </x:c>
      <x:c r="J103" s="196" t="str">
        <x:v>local_asset</x:v>
      </x:c>
      <x:c r="K103" s="93" t="str">
        <x:v>https://i.pinimg.com/1200x/69/d6/e5/69d6e56299838d8728a7670ed21edd91.jpg</x:v>
      </x:c>
    </x:row>
    <x:row r="104">
      <x:c r="A104" s="195" t="str">
        <x:v>IMG-SCHDL008-09</x:v>
      </x:c>
      <x:c r="B104" s="147" t="str">
        <x:v>SCHDL008</x:v>
      </x:c>
      <x:c r="C104" s="147" t="str">
        <x:v>/image/tours/da-lat-ho-xuan-huong-01.jpg</x:v>
      </x:c>
      <x:c r="D104" s="147"/>
      <x:c r="E104" s="147" t="str">
        <x:v>gallery</x:v>
      </x:c>
      <x:c r="F104" s="147" t="n">
        <x:v>9</x:v>
      </x:c>
      <x:c r="G104" s="147" t="str">
        <x:v>Hồ Tuyền Lâm - Thiền viện Trúc Lâm - thác Datanla – Săn mây Cầu Đất - Chùa Linh Phước - vườn hoa</x:v>
      </x:c>
      <x:c r="H104" s="147" t="str">
        <x:v>/image/tours/da-lat-ho-xuan-huong-01.jpg</x:v>
      </x:c>
      <x:c r="I104" s="147" t="str">
        <x:v>Ảnh local nằm trong frontend/public/image/tours; CSDL chỉ lưu URL bắt đầu bằng /image/tours/.</x:v>
      </x:c>
      <x:c r="J104" s="196" t="str">
        <x:v>local_asset</x:v>
      </x:c>
      <x:c r="K104" s="93" t="str">
        <x:v>https://i.pinimg.com/1200x/b4/cd/b9/b4cdb9c05718a57d34787052447ca7bf.jpg</x:v>
      </x:c>
    </x:row>
    <x:row r="105">
      <x:c r="A105" s="195" t="str">
        <x:v>IMG-SCHDL008-10</x:v>
      </x:c>
      <x:c r="B105" s="147" t="str">
        <x:v>SCHDL008</x:v>
      </x:c>
      <x:c r="C105" s="147" t="str">
        <x:v>/image/tours/da-lat-doc-pho-01.jpg</x:v>
      </x:c>
      <x:c r="D105" s="147"/>
      <x:c r="E105" s="147" t="str">
        <x:v>gallery</x:v>
      </x:c>
      <x:c r="F105" s="147" t="n">
        <x:v>10</x:v>
      </x:c>
      <x:c r="G105" s="147" t="str">
        <x:v>Trekking Langbiang cùng hướng dẫn viên bản địa – Săn mây Cầu Đất - Chùa Linh Phước - vườn hoa</x:v>
      </x:c>
      <x:c r="H105" s="147" t="str">
        <x:v>/image/tours/da-lat-doc-pho-01.jpg</x:v>
      </x:c>
      <x:c r="I105" s="147" t="str">
        <x:v>Ảnh local nằm trong frontend/public/image/tours; CSDL chỉ lưu URL bắt đầu bằng /image/tours/.</x:v>
      </x:c>
      <x:c r="J105" s="196" t="str">
        <x:v>local_asset</x:v>
      </x:c>
      <x:c r="K105" s="93" t="str">
        <x:v>https://i.pinimg.com/1200x/ce/2c/ca/ce2ccaa3ae760d552f1f7a765572239f.jpg</x:v>
      </x:c>
    </x:row>
    <x:row r="106">
      <x:c r="A106" s="195" t="str">
        <x:v>IMG-SCHDN009-07</x:v>
      </x:c>
      <x:c r="B106" s="147" t="str">
        <x:v>SCHDN009</x:v>
      </x:c>
      <x:c r="C106" s="147" t="str">
        <x:v>/image/tours/da-nang-ba-na-hills-kien-truc-01.jpg</x:v>
      </x:c>
      <x:c r="D106" s="147"/>
      <x:c r="E106" s="147" t="str">
        <x:v>gallery</x:v>
      </x:c>
      <x:c r="F106" s="147" t="n">
        <x:v>7</x:v>
      </x:c>
      <x:c r="G106" s="147" t="str">
        <x:v>Thuyền thúng rừng dừa Bảy Mẫu – Đà Nẵng biển xanh: Sơn Trà - Linh Ứng - Cầu Rồng</x:v>
      </x:c>
      <x:c r="H106" s="147" t="str">
        <x:v>/image/tours/da-nang-ba-na-hills-kien-truc-01.jpg</x:v>
      </x:c>
      <x:c r="I106" s="147" t="str">
        <x:v>Ảnh local nằm trong frontend/public/image/tours; CSDL chỉ lưu URL bắt đầu bằng /image/tours/.</x:v>
      </x:c>
      <x:c r="J106" s="196" t="str">
        <x:v>local_asset</x:v>
      </x:c>
      <x:c r="K106" s="93" t="str">
        <x:v>https://i.pinimg.com/1200x/20/91/54/209154787a463e0549849949116665c1.jpg</x:v>
      </x:c>
    </x:row>
    <x:row r="107">
      <x:c r="A107" s="195" t="str">
        <x:v>IMG-SCHDN009-08</x:v>
      </x:c>
      <x:c r="B107" s="147" t="str">
        <x:v>SCHDN009</x:v>
      </x:c>
      <x:c r="C107" s="147" t="str">
        <x:v>/image/tours/hoi-an-ca-phe-dia-phuong-01.jpg</x:v>
      </x:c>
      <x:c r="D107" s="147"/>
      <x:c r="E107" s="147" t="str">
        <x:v>gallery</x:v>
      </x:c>
      <x:c r="F107" s="147" t="n">
        <x:v>8</x:v>
      </x:c>
      <x:c r="G107" s="147" t="str">
        <x:v>Ngũ Hành Sơn - Cù Lao Chàm - phố Hội – Đà Nẵng biển xanh: Sơn Trà - Linh Ứng - Cầu Rồng</x:v>
      </x:c>
      <x:c r="H107" s="147" t="str">
        <x:v>/image/tours/hoi-an-ca-phe-dia-phuong-01.jpg</x:v>
      </x:c>
      <x:c r="I107" s="147" t="str">
        <x:v>Ảnh local nằm trong frontend/public/image/tours; CSDL chỉ lưu URL bắt đầu bằng /image/tours/.</x:v>
      </x:c>
      <x:c r="J107" s="196" t="str">
        <x:v>local_asset</x:v>
      </x:c>
      <x:c r="K107" s="93" t="str">
        <x:v>https://i.pinimg.com/1200x/51/8a/24/518a24abfd5bf366aaea50f79fc67644.jpg</x:v>
      </x:c>
    </x:row>
    <x:row r="108">
      <x:c r="A108" s="195" t="str">
        <x:v>IMG-SCHDN009-09</x:v>
      </x:c>
      <x:c r="B108" s="147" t="str">
        <x:v>SCHDN009</x:v>
      </x:c>
      <x:c r="C108" s="147" t="str">
        <x:v>/image/tours/hoi-an-pho-co-den-long-01.jpg</x:v>
      </x:c>
      <x:c r="D108" s="147"/>
      <x:c r="E108" s="147" t="str">
        <x:v>gallery</x:v>
      </x:c>
      <x:c r="F108" s="147" t="n">
        <x:v>9</x:v>
      </x:c>
      <x:c r="G108" s="147" t="str">
        <x:v>Eco homestay gần phố cổ Hội An – Đà Nẵng biển xanh: Sơn Trà - Linh Ứng - Cầu Rồng</x:v>
      </x:c>
      <x:c r="H108" s="147" t="str">
        <x:v>/image/tours/hoi-an-pho-co-den-long-01.jpg</x:v>
      </x:c>
      <x:c r="I108" s="147" t="str">
        <x:v>Ảnh local nằm trong frontend/public/image/tours; CSDL chỉ lưu URL bắt đầu bằng /image/tours/.</x:v>
      </x:c>
      <x:c r="J108" s="196" t="str">
        <x:v>local_asset</x:v>
      </x:c>
      <x:c r="K108" s="93" t="str">
        <x:v>https://i.pinimg.com/1200x/9a/8e/80/9a8e809b96b1bb611aabf4e2a8680670.jpg</x:v>
      </x:c>
    </x:row>
    <x:row r="109">
      <x:c r="A109" s="195" t="str">
        <x:v>IMG-SCHDN009-10</x:v>
      </x:c>
      <x:c r="B109" s="147" t="str">
        <x:v>SCHDN009</x:v>
      </x:c>
      <x:c r="C109" s="147" t="str">
        <x:v>/image/tours/hoi-an-chua-cau-01.jpg</x:v>
      </x:c>
      <x:c r="D109" s="147"/>
      <x:c r="E109" s="147" t="str">
        <x:v>gallery</x:v>
      </x:c>
      <x:c r="F109" s="147" t="n">
        <x:v>10</x:v>
      </x:c>
      <x:c r="G109" s="147" t="str">
        <x:v>Cù Lao Chàm snorkeling ít rác – Đà Nẵng biển xanh: Sơn Trà - Linh Ứng - Cầu Rồng</x:v>
      </x:c>
      <x:c r="H109" s="147" t="str">
        <x:v>/image/tours/hoi-an-chua-cau-01.jpg</x:v>
      </x:c>
      <x:c r="I109" s="147" t="str">
        <x:v>Ảnh local nằm trong frontend/public/image/tours; CSDL chỉ lưu URL bắt đầu bằng /image/tours/.</x:v>
      </x:c>
      <x:c r="J109" s="196" t="str">
        <x:v>local_asset</x:v>
      </x:c>
      <x:c r="K109" s="93" t="str">
        <x:v>https://i.pinimg.com/736x/10/45/22/104522e091e22eadc9e27768c42bd6f2.jpg</x:v>
      </x:c>
    </x:row>
    <x:row r="110">
      <x:c r="A110" s="195" t="str">
        <x:v>IMG-SCHDN010-07</x:v>
      </x:c>
      <x:c r="B110" s="147" t="str">
        <x:v>SCHDN010</x:v>
      </x:c>
      <x:c r="C110" s="147" t="str">
        <x:v>/image/tours/da-nang-poster-du-lich-01.jpg</x:v>
      </x:c>
      <x:c r="D110" s="147"/>
      <x:c r="E110" s="147" t="str">
        <x:v>gallery</x:v>
      </x:c>
      <x:c r="F110" s="147" t="n">
        <x:v>7</x:v>
      </x:c>
      <x:c r="G110" s="147" t="str">
        <x:v>Thuyền thúng rừng dừa Bảy Mẫu – Bà Nà Hills - Cầu Vàng trong mây</x:v>
      </x:c>
      <x:c r="H110" s="147" t="str">
        <x:v>/image/tours/da-nang-poster-du-lich-01.jpg</x:v>
      </x:c>
      <x:c r="I110" s="147" t="str">
        <x:v>Ảnh local nằm trong frontend/public/image/tours; CSDL chỉ lưu URL bắt đầu bằng /image/tours/.</x:v>
      </x:c>
      <x:c r="J110" s="196" t="str">
        <x:v>local_asset</x:v>
      </x:c>
      <x:c r="K110" s="93" t="str">
        <x:v>https://i.pinimg.com/1200x/20/91/54/209154787a463e0549849949116665c1.jpg</x:v>
      </x:c>
    </x:row>
    <x:row r="111">
      <x:c r="A111" s="195" t="str">
        <x:v>IMG-SCHDN010-08</x:v>
      </x:c>
      <x:c r="B111" s="147" t="str">
        <x:v>SCHDN010</x:v>
      </x:c>
      <x:c r="C111" s="147" t="str">
        <x:v>/image/tours/da-nang-bien-my-khe-toan-canh-01.jpg</x:v>
      </x:c>
      <x:c r="D111" s="147"/>
      <x:c r="E111" s="147" t="str">
        <x:v>gallery</x:v>
      </x:c>
      <x:c r="F111" s="147" t="n">
        <x:v>8</x:v>
      </x:c>
      <x:c r="G111" s="147" t="str">
        <x:v>Ngũ Hành Sơn - Cù Lao Chàm - phố Hội – Bà Nà Hills - Cầu Vàng trong mây</x:v>
      </x:c>
      <x:c r="H111" s="147" t="str">
        <x:v>/image/tours/da-nang-bien-my-khe-toan-canh-01.jpg</x:v>
      </x:c>
      <x:c r="I111" s="147" t="str">
        <x:v>Ảnh local nằm trong frontend/public/image/tours; CSDL chỉ lưu URL bắt đầu bằng /image/tours/.</x:v>
      </x:c>
      <x:c r="J111" s="196" t="str">
        <x:v>local_asset</x:v>
      </x:c>
      <x:c r="K111" s="93" t="str">
        <x:v>https://i.pinimg.com/1200x/51/8a/24/518a24abfd5bf366aaea50f79fc67644.jpg</x:v>
      </x:c>
    </x:row>
    <x:row r="112">
      <x:c r="A112" s="195" t="str">
        <x:v>IMG-SCHDN010-09</x:v>
      </x:c>
      <x:c r="B112" s="147" t="str">
        <x:v>SCHDN010</x:v>
      </x:c>
      <x:c r="C112" s="147" t="str">
        <x:v>/image/tours/da-nang-cau-rong-hoang-hon-01.jpg</x:v>
      </x:c>
      <x:c r="D112" s="147"/>
      <x:c r="E112" s="147" t="str">
        <x:v>gallery</x:v>
      </x:c>
      <x:c r="F112" s="147" t="n">
        <x:v>9</x:v>
      </x:c>
      <x:c r="G112" s="147" t="str">
        <x:v>Eco homestay gần phố cổ Hội An – Bà Nà Hills - Cầu Vàng trong mây</x:v>
      </x:c>
      <x:c r="H112" s="147" t="str">
        <x:v>/image/tours/da-nang-cau-rong-hoang-hon-01.jpg</x:v>
      </x:c>
      <x:c r="I112" s="147" t="str">
        <x:v>Ảnh local nằm trong frontend/public/image/tours; CSDL chỉ lưu URL bắt đầu bằng /image/tours/.</x:v>
      </x:c>
      <x:c r="J112" s="196" t="str">
        <x:v>local_asset</x:v>
      </x:c>
      <x:c r="K112" s="93" t="str">
        <x:v>https://i.pinimg.com/1200x/9a/8e/80/9a8e809b96b1bb611aabf4e2a8680670.jpg</x:v>
      </x:c>
    </x:row>
    <x:row r="113">
      <x:c r="A113" s="195" t="str">
        <x:v>IMG-SCHDN010-10</x:v>
      </x:c>
      <x:c r="B113" s="147" t="str">
        <x:v>SCHDN010</x:v>
      </x:c>
      <x:c r="C113" s="147" t="str">
        <x:v>/image/tours/da-nang-bien-my-khe-01.jpg</x:v>
      </x:c>
      <x:c r="D113" s="147"/>
      <x:c r="E113" s="147" t="str">
        <x:v>gallery</x:v>
      </x:c>
      <x:c r="F113" s="147" t="n">
        <x:v>10</x:v>
      </x:c>
      <x:c r="G113" s="147" t="str">
        <x:v>Cù Lao Chàm snorkeling ít rác – Bà Nà Hills - Cầu Vàng trong mây</x:v>
      </x:c>
      <x:c r="H113" s="147" t="str">
        <x:v>/image/tours/da-nang-bien-my-khe-01.jpg</x:v>
      </x:c>
      <x:c r="I113" s="147" t="str">
        <x:v>Ảnh local nằm trong frontend/public/image/tours; CSDL chỉ lưu URL bắt đầu bằng /image/tours/.</x:v>
      </x:c>
      <x:c r="J113" s="196" t="str">
        <x:v>local_asset</x:v>
      </x:c>
      <x:c r="K113" s="93" t="str">
        <x:v>https://i.pinimg.com/736x/10/45/22/104522e091e22eadc9e27768c42bd6f2.jpg</x:v>
      </x:c>
    </x:row>
    <x:row r="114">
      <x:c r="A114" s="195" t="str">
        <x:v>IMG-SCHHA011-07</x:v>
      </x:c>
      <x:c r="B114" s="147" t="str">
        <x:v>SCHHA011</x:v>
      </x:c>
      <x:c r="C114" s="147" t="str">
        <x:v>/image/tours/hoi-an-checkin-pho-co-01.jpg</x:v>
      </x:c>
      <x:c r="D114" s="147"/>
      <x:c r="E114" s="147" t="str">
        <x:v>gallery</x:v>
      </x:c>
      <x:c r="F114" s="147" t="n">
        <x:v>7</x:v>
      </x:c>
      <x:c r="G114" s="147" t="str">
        <x:v>Vé Cầu Vàng - Bà Nà Hills – Hội An di sản - rừng dừa Bảy Mẫu - Trà Quế</x:v>
      </x:c>
      <x:c r="H114" s="147" t="str">
        <x:v>/image/tours/hoi-an-checkin-pho-co-01.jpg</x:v>
      </x:c>
      <x:c r="I114" s="147" t="str">
        <x:v>Ảnh local nằm trong frontend/public/image/tours; CSDL chỉ lưu URL bắt đầu bằng /image/tours/.</x:v>
      </x:c>
      <x:c r="J114" s="196" t="str">
        <x:v>local_asset</x:v>
      </x:c>
      <x:c r="K114" s="93" t="str">
        <x:v>https://i.pinimg.com/1200x/0f/6e/d5/0f6ed53001e1e7e73eb761f57062f899.jpg</x:v>
      </x:c>
    </x:row>
    <x:row r="115">
      <x:c r="A115" s="195" t="str">
        <x:v>IMG-SCHHA011-08</x:v>
      </x:c>
      <x:c r="B115" s="147" t="str">
        <x:v>SCHHA011</x:v>
      </x:c>
      <x:c r="C115" s="147" t="str">
        <x:v>/image/tours/hoi-an-checkin-den-long-01.jpg</x:v>
      </x:c>
      <x:c r="D115" s="147"/>
      <x:c r="E115" s="147" t="str">
        <x:v>gallery</x:v>
      </x:c>
      <x:c r="F115" s="147" t="n">
        <x:v>8</x:v>
      </x:c>
      <x:c r="G115" s="147" t="str">
        <x:v>Ngũ Hành Sơn - Cù Lao Chàm - phố Hội – Hội An di sản - rừng dừa Bảy Mẫu - Trà Quế</x:v>
      </x:c>
      <x:c r="H115" s="147" t="str">
        <x:v>/image/tours/hoi-an-checkin-den-long-01.jpg</x:v>
      </x:c>
      <x:c r="I115" s="147" t="str">
        <x:v>Ảnh local nằm trong frontend/public/image/tours; CSDL chỉ lưu URL bắt đầu bằng /image/tours/.</x:v>
      </x:c>
      <x:c r="J115" s="196" t="str">
        <x:v>local_asset</x:v>
      </x:c>
      <x:c r="K115" s="93" t="str">
        <x:v>https://i.pinimg.com/1200x/51/8a/24/518a24abfd5bf366aaea50f79fc67644.jpg</x:v>
      </x:c>
    </x:row>
    <x:row r="116">
      <x:c r="A116" s="195" t="str">
        <x:v>IMG-SCHHA011-09</x:v>
      </x:c>
      <x:c r="B116" s="147" t="str">
        <x:v>SCHHA011</x:v>
      </x:c>
      <x:c r="C116" s="147" t="str">
        <x:v>/image/tours/hoi-an-chua-cau-01.jpg</x:v>
      </x:c>
      <x:c r="D116" s="147"/>
      <x:c r="E116" s="147" t="str">
        <x:v>gallery</x:v>
      </x:c>
      <x:c r="F116" s="147" t="n">
        <x:v>9</x:v>
      </x:c>
      <x:c r="G116" s="147" t="str">
        <x:v>Dạo Cầu Rồng &amp; sông Hàn buổi tối – Hội An di sản - rừng dừa Bảy Mẫu - Trà Quế</x:v>
      </x:c>
      <x:c r="H116" s="147" t="str">
        <x:v>/image/tours/hoi-an-chua-cau-01.jpg</x:v>
      </x:c>
      <x:c r="I116" s="147" t="str">
        <x:v>Ảnh local nằm trong frontend/public/image/tours; CSDL chỉ lưu URL bắt đầu bằng /image/tours/.</x:v>
      </x:c>
      <x:c r="J116" s="196" t="str">
        <x:v>local_asset</x:v>
      </x:c>
      <x:c r="K116" s="93" t="str">
        <x:v>https://i.pinimg.com/1200x/58/9e/60/589e603ed6614dbf063b018ca1d41044.jpg</x:v>
      </x:c>
    </x:row>
    <x:row r="117">
      <x:c r="A117" s="195" t="str">
        <x:v>IMG-SCHHA011-10</x:v>
      </x:c>
      <x:c r="B117" s="147" t="str">
        <x:v>SCHHA011</x:v>
      </x:c>
      <x:c r="C117" s="147" t="str">
        <x:v>/image/tours/hoi-an-ca-phe-dia-phuong-01.jpg</x:v>
      </x:c>
      <x:c r="D117" s="147"/>
      <x:c r="E117" s="147" t="str">
        <x:v>gallery</x:v>
      </x:c>
      <x:c r="F117" s="147" t="n">
        <x:v>10</x:v>
      </x:c>
      <x:c r="G117" s="147" t="str">
        <x:v>Bán đảo Sơn Trà - Chùa Linh Ứng – Hội An di sản - rừng dừa Bảy Mẫu - Trà Quế</x:v>
      </x:c>
      <x:c r="H117" s="147" t="str">
        <x:v>/image/tours/hoi-an-ca-phe-dia-phuong-01.jpg</x:v>
      </x:c>
      <x:c r="I117" s="147" t="str">
        <x:v>Ảnh local nằm trong frontend/public/image/tours; CSDL chỉ lưu URL bắt đầu bằng /image/tours/.</x:v>
      </x:c>
      <x:c r="J117" s="196" t="str">
        <x:v>local_asset</x:v>
      </x:c>
      <x:c r="K117" s="93" t="str">
        <x:v>https://i.pinimg.com/1200x/ba/83/5c/ba835ca954a9de23675159b00778f2d9.jpg</x:v>
      </x:c>
    </x:row>
    <x:row r="118">
      <x:c r="A118" s="195" t="str">
        <x:v>IMG-SCHHA012-07</x:v>
      </x:c>
      <x:c r="B118" s="147" t="str">
        <x:v>SCHHA012</x:v>
      </x:c>
      <x:c r="C118" s="147" t="str">
        <x:v>/image/tours/hoi-an-pho-co-xe-dap-01.jpg</x:v>
      </x:c>
      <x:c r="D118" s="147"/>
      <x:c r="E118" s="147" t="str">
        <x:v>gallery</x:v>
      </x:c>
      <x:c r="F118" s="147" t="n">
        <x:v>7</x:v>
      </x:c>
      <x:c r="G118" s="147" t="str">
        <x:v>Lớp nấu ăn làng rau Trà Quế – Ngũ Hành Sơn - Cù Lao Chàm - phố Hội</x:v>
      </x:c>
      <x:c r="H118" s="147" t="str">
        <x:v>/image/tours/hoi-an-pho-co-xe-dap-01.jpg</x:v>
      </x:c>
      <x:c r="I118" s="147" t="str">
        <x:v>Ảnh local nằm trong frontend/public/image/tours; CSDL chỉ lưu URL bắt đầu bằng /image/tours/.</x:v>
      </x:c>
      <x:c r="J118" s="196" t="str">
        <x:v>local_asset</x:v>
      </x:c>
      <x:c r="K118" s="93" t="str">
        <x:v>https://i.pinimg.com/736x/67/cd/79/67cd79e84f7cc6c35a6817ebbb753caa.jpg</x:v>
      </x:c>
    </x:row>
    <x:row r="119">
      <x:c r="A119" s="195" t="str">
        <x:v>IMG-SCHHA012-08</x:v>
      </x:c>
      <x:c r="B119" s="147" t="str">
        <x:v>SCHHA012</x:v>
      </x:c>
      <x:c r="C119" s="147" t="str">
        <x:v>/image/tours/hoi-an-hem-pho-co-01.jpg</x:v>
      </x:c>
      <x:c r="D119" s="147"/>
      <x:c r="E119" s="147" t="str">
        <x:v>gallery</x:v>
      </x:c>
      <x:c r="F119" s="147" t="n">
        <x:v>8</x:v>
      </x:c>
      <x:c r="G119" s="147" t="str">
        <x:v>Vé Cầu Vàng - Bà Nà Hills – Ngũ Hành Sơn - Cù Lao Chàm - phố Hội</x:v>
      </x:c>
      <x:c r="H119" s="147" t="str">
        <x:v>/image/tours/hoi-an-hem-pho-co-01.jpg</x:v>
      </x:c>
      <x:c r="I119" s="147" t="str">
        <x:v>Ảnh local nằm trong frontend/public/image/tours; CSDL chỉ lưu URL bắt đầu bằng /image/tours/.</x:v>
      </x:c>
      <x:c r="J119" s="196" t="str">
        <x:v>local_asset</x:v>
      </x:c>
      <x:c r="K119" s="93" t="str">
        <x:v>https://i.pinimg.com/1200x/0f/6e/d5/0f6ed53001e1e7e73eb761f57062f899.jpg</x:v>
      </x:c>
    </x:row>
    <x:row r="120">
      <x:c r="A120" s="195" t="str">
        <x:v>IMG-SCHHA012-09</x:v>
      </x:c>
      <x:c r="B120" s="147" t="str">
        <x:v>SCHHA012</x:v>
      </x:c>
      <x:c r="C120" s="147" t="str">
        <x:v>/image/tours/hoi-an-checkin-den-long-01.jpg</x:v>
      </x:c>
      <x:c r="D120" s="147"/>
      <x:c r="E120" s="147" t="str">
        <x:v>gallery</x:v>
      </x:c>
      <x:c r="F120" s="147" t="n">
        <x:v>9</x:v>
      </x:c>
      <x:c r="G120" s="147" t="str">
        <x:v>Thuyền thúng rừng dừa Bảy Mẫu – Ngũ Hành Sơn - Cù Lao Chàm - phố Hội</x:v>
      </x:c>
      <x:c r="H120" s="147" t="str">
        <x:v>/image/tours/hoi-an-checkin-den-long-01.jpg</x:v>
      </x:c>
      <x:c r="I120" s="147" t="str">
        <x:v>Ảnh local nằm trong frontend/public/image/tours; CSDL chỉ lưu URL bắt đầu bằng /image/tours/.</x:v>
      </x:c>
      <x:c r="J120" s="196" t="str">
        <x:v>local_asset</x:v>
      </x:c>
      <x:c r="K120" s="93" t="str">
        <x:v>https://i.pinimg.com/1200x/20/91/54/209154787a463e0549849949116665c1.jpg</x:v>
      </x:c>
    </x:row>
    <x:row r="121">
      <x:c r="A121" s="197" t="str">
        <x:v>IMG-SCHHA012-10</x:v>
      </x:c>
      <x:c r="B121" s="198" t="str">
        <x:v>SCHHA012</x:v>
      </x:c>
      <x:c r="C121" s="198" t="str">
        <x:v>/image/tours/hoi-an-lang-nghe-thu-cong-01.jpg</x:v>
      </x:c>
      <x:c r="D121" s="198"/>
      <x:c r="E121" s="198" t="str">
        <x:v>gallery</x:v>
      </x:c>
      <x:c r="F121" s="198" t="n">
        <x:v>10</x:v>
      </x:c>
      <x:c r="G121" s="198" t="str">
        <x:v>Dạo Cầu Rồng &amp; sông Hàn buổi tối – Ngũ Hành Sơn - Cù Lao Chàm - phố Hội</x:v>
      </x:c>
      <x:c r="H121" s="198" t="str">
        <x:v>/image/tours/hoi-an-lang-nghe-thu-cong-01.jpg</x:v>
      </x:c>
      <x:c r="I121" s="198" t="str">
        <x:v>Ảnh local nằm trong frontend/public/image/tours; CSDL chỉ lưu URL bắt đầu bằng /image/tours/.</x:v>
      </x:c>
      <x:c r="J121" s="199" t="str">
        <x:v>local_asset</x:v>
      </x:c>
      <x:c r="K121" s="93" t="str">
        <x:v>https://i.pinimg.com/1200x/58/9e/60/589e603ed6614dbf063b018ca1d41044.jpg</x:v>
      </x:c>
    </x:row>
  </x:sheetData>
  <x:dataValidations count="5">
    <x:dataValidation type="list" sqref="E2:E73">
      <x:formula1>"cover,gallery"</x:formula1>
    </x:dataValidation>
    <x:dataValidation type="list" sqref="J2:J73">
      <x:formula1>"demo_only,verified,replace_required"</x:formula1>
    </x:dataValidation>
    <x:dataValidation type="list" sqref="E74:E121">
      <x:formula1>"cover,gallery"</x:formula1>
    </x:dataValidation>
    <x:dataValidation type="list" sqref="J74:J121">
      <x:formula1>"demo_only,verified,replace_required"</x:formula1>
    </x:dataValidation>
    <x:dataValidation type="list" sqref="J2:J121">
      <x:formula1>"local_asset,demo_only,verified,replace_required"</x:formula1>
    </x:dataValidation>
  </x:dataValidations>
  <x:pageMargins left="0.7" right="0.7" top="0.75" bottom="0.75" header="0.3" footer="0.3"/>
  <x:tableParts count="1">
    <x:tablePart xmlns:r="http://schemas.openxmlformats.org/officeDocument/2006/relationships" r:id="R551a77cfd8a847be"/>
  </x:tableParts>
</x:worksheet>
</file>

<file path=xl/worksheets/sheet22.xml><?xml version="1.0" encoding="utf-8"?>
<x:worksheet xmlns:x="http://schemas.openxmlformats.org/spreadsheetml/2006/main">
  <x:sheetFormatPr defaultRowHeight="15"/>
  <x:cols>
    <x:col min="1" max="1" width="21" hidden="0" customWidth="1"/>
    <x:col min="2" max="2" width="14" hidden="0" customWidth="1"/>
    <x:col min="3" max="3" width="16" hidden="0" customWidth="1"/>
    <x:col min="4" max="4" width="18" hidden="0" customWidth="1"/>
    <x:col min="5" max="5" width="22" hidden="0" customWidth="1"/>
    <x:col min="6" max="6" width="30" hidden="0" customWidth="1"/>
    <x:col min="7" max="7" width="46" hidden="0" customWidth="1"/>
    <x:col min="8" max="8" width="11" hidden="0" customWidth="1"/>
  </x:cols>
  <x:sheetData>
    <x:row r="1" ht="32" customHeight="1">
      <x:c r="A1" s="158" t="str">
        <x:v>ID_Feature</x:v>
      </x:c>
      <x:c r="B1" s="159" t="str">
        <x:v>ID_Schedule</x:v>
      </x:c>
      <x:c r="C1" s="159" t="str">
        <x:v>feature_key</x:v>
      </x:c>
      <x:c r="D1" s="159" t="str">
        <x:v>icon</x:v>
      </x:c>
      <x:c r="E1" s="159" t="str">
        <x:v>title</x:v>
      </x:c>
      <x:c r="F1" s="159" t="str">
        <x:v>value</x:v>
      </x:c>
      <x:c r="G1" s="159" t="str">
        <x:v>description</x:v>
      </x:c>
      <x:c r="H1" s="160" t="str">
        <x:v>sort_order</x:v>
      </x:c>
    </x:row>
    <x:row r="2">
      <x:c r="A2" s="161" t="str">
        <x:v>FEAT-SCHPY001-01</x:v>
      </x:c>
      <x:c r="B2" s="147" t="str">
        <x:v>SCHPY001</x:v>
      </x:c>
      <x:c r="C2" s="147" t="str">
        <x:v>tour_style</x:v>
      </x:c>
      <x:c r="D2" s="147" t="str">
        <x:v>bi-compass</x:v>
      </x:c>
      <x:c r="E2" s="147" t="str">
        <x:v>Phong cách tour</x:v>
      </x:c>
      <x:c r="F2" s="147" t="str">
        <x:v>Gia đình / Eco Travel</x:v>
      </x:c>
      <x:c r="G2" s="147" t="str">
        <x:v>Trải nghiệm xanh phù hợp với gia đình, cặp đôi hoặc nhóm bạn.</x:v>
      </x:c>
      <x:c r="H2" s="165" t="n">
        <x:v>1</x:v>
      </x:c>
    </x:row>
    <x:row r="3">
      <x:c r="A3" s="161" t="str">
        <x:v>FEAT-SCHPY001-02</x:v>
      </x:c>
      <x:c r="B3" s="147" t="str">
        <x:v>SCHPY001</x:v>
      </x:c>
      <x:c r="C3" s="147" t="str">
        <x:v>service</x:v>
      </x:c>
      <x:c r="D3" s="147" t="str">
        <x:v>bi-list-check</x:v>
      </x:c>
      <x:c r="E3" s="147" t="str">
        <x:v>Dịch vụ</x:v>
      </x:c>
      <x:c r="F3" s="147" t="str">
        <x:v>Gói trọn tiêu chuẩn</x:v>
      </x:c>
      <x:c r="G3" s="147" t="str">
        <x:v>Bao gồm các dịch vụ chính được nêu trong lịch trình.</x:v>
      </x:c>
      <x:c r="H3" s="165" t="n">
        <x:v>2</x:v>
      </x:c>
    </x:row>
    <x:row r="4">
      <x:c r="A4" s="161" t="str">
        <x:v>FEAT-SCHPY001-03</x:v>
      </x:c>
      <x:c r="B4" s="147" t="str">
        <x:v>SCHPY001</x:v>
      </x:c>
      <x:c r="C4" s="147" t="str">
        <x:v>guide</x:v>
      </x:c>
      <x:c r="D4" s="147" t="str">
        <x:v>bi-person-badge</x:v>
      </x:c>
      <x:c r="E4" s="147" t="str">
        <x:v>Hướng dẫn viên</x:v>
      </x:c>
      <x:c r="F4" s="147" t="str">
        <x:v>Toàn thời gian</x:v>
      </x:c>
      <x:c r="G4" s="147" t="str">
        <x:v>Đồng hành, hỗ trợ và điều phối trong suốt hành trình.</x:v>
      </x:c>
      <x:c r="H4" s="165" t="n">
        <x:v>3</x:v>
      </x:c>
    </x:row>
    <x:row r="5">
      <x:c r="A5" s="161" t="str">
        <x:v>FEAT-SCHPY001-04</x:v>
      </x:c>
      <x:c r="B5" s="147" t="str">
        <x:v>SCHPY001</x:v>
      </x:c>
      <x:c r="C5" s="147" t="str">
        <x:v>difficulty</x:v>
      </x:c>
      <x:c r="D5" s="147" t="str">
        <x:v>bi-activity</x:v>
      </x:c>
      <x:c r="E5" s="147" t="str">
        <x:v>Mức độ vận động</x:v>
      </x:c>
      <x:c r="F5" s="147" t="str">
        <x:v>Nhẹ</x:v>
      </x:c>
      <x:c r="G5" s="147" t="str">
        <x:v>Cường độ được thiết kế phù hợp với nhịp độ chung của tour.</x:v>
      </x:c>
      <x:c r="H5" s="165" t="n">
        <x:v>4</x:v>
      </x:c>
    </x:row>
    <x:row r="6">
      <x:c r="A6" s="161" t="str">
        <x:v>FEAT-SCHPY001-05</x:v>
      </x:c>
      <x:c r="B6" s="147" t="str">
        <x:v>SCHPY001</x:v>
      </x:c>
      <x:c r="C6" s="147" t="str">
        <x:v>group</x:v>
      </x:c>
      <x:c r="D6" s="147" t="str">
        <x:v>bi-people</x:v>
      </x:c>
      <x:c r="E6" s="147" t="str">
        <x:v>Nhóm khách</x:v>
      </x:c>
      <x:c r="F6" s="147" t="str">
        <x:v>Nhóm nhỏ 1–12 khách</x:v>
      </x:c>
      <x:c r="G6" s="147" t="str">
        <x:v>Ưu tiên trải nghiệm gần gũi và hạn chế quá tải điểm đến.</x:v>
      </x:c>
      <x:c r="H6" s="165" t="n">
        <x:v>5</x:v>
      </x:c>
    </x:row>
    <x:row r="7">
      <x:c r="A7" s="161" t="str">
        <x:v>FEAT-SCHPY001-06</x:v>
      </x:c>
      <x:c r="B7" s="147" t="str">
        <x:v>SCHPY001</x:v>
      </x:c>
      <x:c r="C7" s="147" t="str">
        <x:v>carbon</x:v>
      </x:c>
      <x:c r="D7" s="147" t="str">
        <x:v>bi-leaf</x:v>
      </x:c>
      <x:c r="E7" s="147" t="str">
        <x:v>Phát thải carbon</x:v>
      </x:c>
      <x:c r="F7" s="147" t="str">
        <x:v>Giảm ước tính 7.1 kg CO₂e</x:v>
      </x:c>
      <x:c r="G7" s="147" t="str">
        <x:v>Giá trị ước tính từ các hoạt động của tour 2 ngày 1 đêm.</x:v>
      </x:c>
      <x:c r="H7" s="165" t="n">
        <x:v>6</x:v>
      </x:c>
    </x:row>
    <x:row r="8">
      <x:c r="A8" s="161" t="str">
        <x:v>FEAT-SCHPY002-01</x:v>
      </x:c>
      <x:c r="B8" s="147" t="str">
        <x:v>SCHPY002</x:v>
      </x:c>
      <x:c r="C8" s="147" t="str">
        <x:v>tour_style</x:v>
      </x:c>
      <x:c r="D8" s="147" t="str">
        <x:v>bi-compass</x:v>
      </x:c>
      <x:c r="E8" s="147" t="str">
        <x:v>Phong cách tour</x:v>
      </x:c>
      <x:c r="F8" s="147" t="str">
        <x:v>Gia đình / Eco Travel</x:v>
      </x:c>
      <x:c r="G8" s="147" t="str">
        <x:v>Trải nghiệm xanh phù hợp với gia đình, cặp đôi hoặc nhóm bạn.</x:v>
      </x:c>
      <x:c r="H8" s="165" t="n">
        <x:v>1</x:v>
      </x:c>
    </x:row>
    <x:row r="9">
      <x:c r="A9" s="161" t="str">
        <x:v>FEAT-SCHPY002-02</x:v>
      </x:c>
      <x:c r="B9" s="147" t="str">
        <x:v>SCHPY002</x:v>
      </x:c>
      <x:c r="C9" s="147" t="str">
        <x:v>service</x:v>
      </x:c>
      <x:c r="D9" s="147" t="str">
        <x:v>bi-list-check</x:v>
      </x:c>
      <x:c r="E9" s="147" t="str">
        <x:v>Dịch vụ</x:v>
      </x:c>
      <x:c r="F9" s="147" t="str">
        <x:v>Gói trọn tiêu chuẩn</x:v>
      </x:c>
      <x:c r="G9" s="147" t="str">
        <x:v>Bao gồm các dịch vụ chính được nêu trong lịch trình.</x:v>
      </x:c>
      <x:c r="H9" s="165" t="n">
        <x:v>2</x:v>
      </x:c>
    </x:row>
    <x:row r="10">
      <x:c r="A10" s="161" t="str">
        <x:v>FEAT-SCHPY002-03</x:v>
      </x:c>
      <x:c r="B10" s="147" t="str">
        <x:v>SCHPY002</x:v>
      </x:c>
      <x:c r="C10" s="147" t="str">
        <x:v>guide</x:v>
      </x:c>
      <x:c r="D10" s="147" t="str">
        <x:v>bi-person-badge</x:v>
      </x:c>
      <x:c r="E10" s="147" t="str">
        <x:v>Hướng dẫn viên</x:v>
      </x:c>
      <x:c r="F10" s="147" t="str">
        <x:v>Toàn thời gian</x:v>
      </x:c>
      <x:c r="G10" s="147" t="str">
        <x:v>Đồng hành, hỗ trợ và điều phối trong suốt hành trình.</x:v>
      </x:c>
      <x:c r="H10" s="165" t="n">
        <x:v>3</x:v>
      </x:c>
    </x:row>
    <x:row r="11">
      <x:c r="A11" s="161" t="str">
        <x:v>FEAT-SCHPY002-04</x:v>
      </x:c>
      <x:c r="B11" s="147" t="str">
        <x:v>SCHPY002</x:v>
      </x:c>
      <x:c r="C11" s="147" t="str">
        <x:v>difficulty</x:v>
      </x:c>
      <x:c r="D11" s="147" t="str">
        <x:v>bi-activity</x:v>
      </x:c>
      <x:c r="E11" s="147" t="str">
        <x:v>Mức độ vận động</x:v>
      </x:c>
      <x:c r="F11" s="147" t="str">
        <x:v>Nhẹ</x:v>
      </x:c>
      <x:c r="G11" s="147" t="str">
        <x:v>Cường độ được thiết kế phù hợp với nhịp độ chung của tour.</x:v>
      </x:c>
      <x:c r="H11" s="165" t="n">
        <x:v>4</x:v>
      </x:c>
    </x:row>
    <x:row r="12">
      <x:c r="A12" s="161" t="str">
        <x:v>FEAT-SCHPY002-05</x:v>
      </x:c>
      <x:c r="B12" s="147" t="str">
        <x:v>SCHPY002</x:v>
      </x:c>
      <x:c r="C12" s="147" t="str">
        <x:v>group</x:v>
      </x:c>
      <x:c r="D12" s="147" t="str">
        <x:v>bi-people</x:v>
      </x:c>
      <x:c r="E12" s="147" t="str">
        <x:v>Nhóm khách</x:v>
      </x:c>
      <x:c r="F12" s="147" t="str">
        <x:v>Nhóm nhỏ 1–12 khách</x:v>
      </x:c>
      <x:c r="G12" s="147" t="str">
        <x:v>Ưu tiên trải nghiệm gần gũi và hạn chế quá tải điểm đến.</x:v>
      </x:c>
      <x:c r="H12" s="165" t="n">
        <x:v>5</x:v>
      </x:c>
    </x:row>
    <x:row r="13">
      <x:c r="A13" s="161" t="str">
        <x:v>FEAT-SCHPY002-06</x:v>
      </x:c>
      <x:c r="B13" s="147" t="str">
        <x:v>SCHPY002</x:v>
      </x:c>
      <x:c r="C13" s="147" t="str">
        <x:v>carbon</x:v>
      </x:c>
      <x:c r="D13" s="147" t="str">
        <x:v>bi-leaf</x:v>
      </x:c>
      <x:c r="E13" s="147" t="str">
        <x:v>Phát thải carbon</x:v>
      </x:c>
      <x:c r="F13" s="147" t="str">
        <x:v>Giảm ước tính 9.3 kg CO₂e</x:v>
      </x:c>
      <x:c r="G13" s="147" t="str">
        <x:v>Giá trị ước tính từ các hoạt động của tour 2 ngày 1 đêm.</x:v>
      </x:c>
      <x:c r="H13" s="165" t="n">
        <x:v>6</x:v>
      </x:c>
    </x:row>
    <x:row r="14">
      <x:c r="A14" s="161" t="str">
        <x:v>FEAT-SCHPY003-01</x:v>
      </x:c>
      <x:c r="B14" s="147" t="str">
        <x:v>SCHPY003</x:v>
      </x:c>
      <x:c r="C14" s="147" t="str">
        <x:v>tour_style</x:v>
      </x:c>
      <x:c r="D14" s="147" t="str">
        <x:v>bi-compass</x:v>
      </x:c>
      <x:c r="E14" s="147" t="str">
        <x:v>Phong cách tour</x:v>
      </x:c>
      <x:c r="F14" s="147" t="str">
        <x:v>Gia đình / Eco Travel</x:v>
      </x:c>
      <x:c r="G14" s="147" t="str">
        <x:v>Trải nghiệm xanh phù hợp với gia đình, cặp đôi hoặc nhóm bạn.</x:v>
      </x:c>
      <x:c r="H14" s="165" t="n">
        <x:v>1</x:v>
      </x:c>
    </x:row>
    <x:row r="15">
      <x:c r="A15" s="161" t="str">
        <x:v>FEAT-SCHPY003-02</x:v>
      </x:c>
      <x:c r="B15" s="147" t="str">
        <x:v>SCHPY003</x:v>
      </x:c>
      <x:c r="C15" s="147" t="str">
        <x:v>service</x:v>
      </x:c>
      <x:c r="D15" s="147" t="str">
        <x:v>bi-list-check</x:v>
      </x:c>
      <x:c r="E15" s="147" t="str">
        <x:v>Dịch vụ</x:v>
      </x:c>
      <x:c r="F15" s="147" t="str">
        <x:v>Gói trọn tiêu chuẩn</x:v>
      </x:c>
      <x:c r="G15" s="147" t="str">
        <x:v>Bao gồm các dịch vụ chính được nêu trong lịch trình.</x:v>
      </x:c>
      <x:c r="H15" s="165" t="n">
        <x:v>2</x:v>
      </x:c>
    </x:row>
    <x:row r="16">
      <x:c r="A16" s="161" t="str">
        <x:v>FEAT-SCHPY003-03</x:v>
      </x:c>
      <x:c r="B16" s="147" t="str">
        <x:v>SCHPY003</x:v>
      </x:c>
      <x:c r="C16" s="147" t="str">
        <x:v>guide</x:v>
      </x:c>
      <x:c r="D16" s="147" t="str">
        <x:v>bi-person-badge</x:v>
      </x:c>
      <x:c r="E16" s="147" t="str">
        <x:v>Hướng dẫn viên</x:v>
      </x:c>
      <x:c r="F16" s="147" t="str">
        <x:v>Toàn thời gian</x:v>
      </x:c>
      <x:c r="G16" s="147" t="str">
        <x:v>Đồng hành, hỗ trợ và điều phối trong suốt hành trình.</x:v>
      </x:c>
      <x:c r="H16" s="165" t="n">
        <x:v>3</x:v>
      </x:c>
    </x:row>
    <x:row r="17">
      <x:c r="A17" s="161" t="str">
        <x:v>FEAT-SCHPY003-04</x:v>
      </x:c>
      <x:c r="B17" s="147" t="str">
        <x:v>SCHPY003</x:v>
      </x:c>
      <x:c r="C17" s="147" t="str">
        <x:v>difficulty</x:v>
      </x:c>
      <x:c r="D17" s="147" t="str">
        <x:v>bi-activity</x:v>
      </x:c>
      <x:c r="E17" s="147" t="str">
        <x:v>Mức độ vận động</x:v>
      </x:c>
      <x:c r="F17" s="147" t="str">
        <x:v>Nhẹ</x:v>
      </x:c>
      <x:c r="G17" s="147" t="str">
        <x:v>Cường độ được thiết kế phù hợp với nhịp độ chung của tour.</x:v>
      </x:c>
      <x:c r="H17" s="165" t="n">
        <x:v>4</x:v>
      </x:c>
    </x:row>
    <x:row r="18">
      <x:c r="A18" s="161" t="str">
        <x:v>FEAT-SCHPY003-05</x:v>
      </x:c>
      <x:c r="B18" s="147" t="str">
        <x:v>SCHPY003</x:v>
      </x:c>
      <x:c r="C18" s="147" t="str">
        <x:v>group</x:v>
      </x:c>
      <x:c r="D18" s="147" t="str">
        <x:v>bi-people</x:v>
      </x:c>
      <x:c r="E18" s="147" t="str">
        <x:v>Nhóm khách</x:v>
      </x:c>
      <x:c r="F18" s="147" t="str">
        <x:v>Nhóm nhỏ 1–12 khách</x:v>
      </x:c>
      <x:c r="G18" s="147" t="str">
        <x:v>Ưu tiên trải nghiệm gần gũi và hạn chế quá tải điểm đến.</x:v>
      </x:c>
      <x:c r="H18" s="165" t="n">
        <x:v>5</x:v>
      </x:c>
    </x:row>
    <x:row r="19">
      <x:c r="A19" s="161" t="str">
        <x:v>FEAT-SCHPY003-06</x:v>
      </x:c>
      <x:c r="B19" s="147" t="str">
        <x:v>SCHPY003</x:v>
      </x:c>
      <x:c r="C19" s="147" t="str">
        <x:v>carbon</x:v>
      </x:c>
      <x:c r="D19" s="147" t="str">
        <x:v>bi-leaf</x:v>
      </x:c>
      <x:c r="E19" s="147" t="str">
        <x:v>Phát thải carbon</x:v>
      </x:c>
      <x:c r="F19" s="147" t="str">
        <x:v>Giảm ước tính 5.2 kg CO₂e</x:v>
      </x:c>
      <x:c r="G19" s="147" t="str">
        <x:v>Giá trị ước tính từ các hoạt động của tour 1 ngày 0 đêm.</x:v>
      </x:c>
      <x:c r="H19" s="165" t="n">
        <x:v>6</x:v>
      </x:c>
    </x:row>
    <x:row r="20">
      <x:c r="A20" s="161" t="str">
        <x:v>FEAT-SCHPY004-01</x:v>
      </x:c>
      <x:c r="B20" s="147" t="str">
        <x:v>SCHPY004</x:v>
      </x:c>
      <x:c r="C20" s="147" t="str">
        <x:v>tour_style</x:v>
      </x:c>
      <x:c r="D20" s="147" t="str">
        <x:v>bi-compass</x:v>
      </x:c>
      <x:c r="E20" s="147" t="str">
        <x:v>Phong cách tour</x:v>
      </x:c>
      <x:c r="F20" s="147" t="str">
        <x:v>Gia đình / Eco Travel</x:v>
      </x:c>
      <x:c r="G20" s="147" t="str">
        <x:v>Trải nghiệm xanh phù hợp với gia đình, cặp đôi hoặc nhóm bạn.</x:v>
      </x:c>
      <x:c r="H20" s="165" t="n">
        <x:v>1</x:v>
      </x:c>
    </x:row>
    <x:row r="21">
      <x:c r="A21" s="161" t="str">
        <x:v>FEAT-SCHPY004-02</x:v>
      </x:c>
      <x:c r="B21" s="147" t="str">
        <x:v>SCHPY004</x:v>
      </x:c>
      <x:c r="C21" s="147" t="str">
        <x:v>service</x:v>
      </x:c>
      <x:c r="D21" s="147" t="str">
        <x:v>bi-list-check</x:v>
      </x:c>
      <x:c r="E21" s="147" t="str">
        <x:v>Dịch vụ</x:v>
      </x:c>
      <x:c r="F21" s="147" t="str">
        <x:v>Gói trọn tiêu chuẩn</x:v>
      </x:c>
      <x:c r="G21" s="147" t="str">
        <x:v>Bao gồm các dịch vụ chính được nêu trong lịch trình.</x:v>
      </x:c>
      <x:c r="H21" s="165" t="n">
        <x:v>2</x:v>
      </x:c>
    </x:row>
    <x:row r="22">
      <x:c r="A22" s="161" t="str">
        <x:v>FEAT-SCHPY004-03</x:v>
      </x:c>
      <x:c r="B22" s="147" t="str">
        <x:v>SCHPY004</x:v>
      </x:c>
      <x:c r="C22" s="147" t="str">
        <x:v>guide</x:v>
      </x:c>
      <x:c r="D22" s="147" t="str">
        <x:v>bi-person-badge</x:v>
      </x:c>
      <x:c r="E22" s="147" t="str">
        <x:v>Hướng dẫn viên</x:v>
      </x:c>
      <x:c r="F22" s="147" t="str">
        <x:v>Toàn thời gian</x:v>
      </x:c>
      <x:c r="G22" s="147" t="str">
        <x:v>Đồng hành, hỗ trợ và điều phối trong suốt hành trình.</x:v>
      </x:c>
      <x:c r="H22" s="165" t="n">
        <x:v>3</x:v>
      </x:c>
    </x:row>
    <x:row r="23">
      <x:c r="A23" s="161" t="str">
        <x:v>FEAT-SCHPY004-04</x:v>
      </x:c>
      <x:c r="B23" s="147" t="str">
        <x:v>SCHPY004</x:v>
      </x:c>
      <x:c r="C23" s="147" t="str">
        <x:v>difficulty</x:v>
      </x:c>
      <x:c r="D23" s="147" t="str">
        <x:v>bi-activity</x:v>
      </x:c>
      <x:c r="E23" s="147" t="str">
        <x:v>Mức độ vận động</x:v>
      </x:c>
      <x:c r="F23" s="147" t="str">
        <x:v>Trung bình</x:v>
      </x:c>
      <x:c r="G23" s="147" t="str">
        <x:v>Cường độ được thiết kế phù hợp với nhịp độ chung của tour.</x:v>
      </x:c>
      <x:c r="H23" s="165" t="n">
        <x:v>4</x:v>
      </x:c>
    </x:row>
    <x:row r="24">
      <x:c r="A24" s="161" t="str">
        <x:v>FEAT-SCHPY004-05</x:v>
      </x:c>
      <x:c r="B24" s="147" t="str">
        <x:v>SCHPY004</x:v>
      </x:c>
      <x:c r="C24" s="147" t="str">
        <x:v>group</x:v>
      </x:c>
      <x:c r="D24" s="147" t="str">
        <x:v>bi-people</x:v>
      </x:c>
      <x:c r="E24" s="147" t="str">
        <x:v>Nhóm khách</x:v>
      </x:c>
      <x:c r="F24" s="147" t="str">
        <x:v>Nhóm nhỏ 1–10 khách</x:v>
      </x:c>
      <x:c r="G24" s="147" t="str">
        <x:v>Ưu tiên trải nghiệm gần gũi và hạn chế quá tải điểm đến.</x:v>
      </x:c>
      <x:c r="H24" s="165" t="n">
        <x:v>5</x:v>
      </x:c>
    </x:row>
    <x:row r="25">
      <x:c r="A25" s="161" t="str">
        <x:v>FEAT-SCHPY004-06</x:v>
      </x:c>
      <x:c r="B25" s="147" t="str">
        <x:v>SCHPY004</x:v>
      </x:c>
      <x:c r="C25" s="147" t="str">
        <x:v>carbon</x:v>
      </x:c>
      <x:c r="D25" s="147" t="str">
        <x:v>bi-leaf</x:v>
      </x:c>
      <x:c r="E25" s="147" t="str">
        <x:v>Phát thải carbon</x:v>
      </x:c>
      <x:c r="F25" s="147" t="str">
        <x:v>Giảm ước tính 10.2 kg CO₂e</x:v>
      </x:c>
      <x:c r="G25" s="147" t="str">
        <x:v>Giá trị ước tính từ các hoạt động của tour 3 ngày 2 đêm.</x:v>
      </x:c>
      <x:c r="H25" s="165" t="n">
        <x:v>6</x:v>
      </x:c>
    </x:row>
    <x:row r="26">
      <x:c r="A26" s="161" t="str">
        <x:v>FEAT-SCHDL005-01</x:v>
      </x:c>
      <x:c r="B26" s="147" t="str">
        <x:v>SCHDL005</x:v>
      </x:c>
      <x:c r="C26" s="147" t="str">
        <x:v>tour_style</x:v>
      </x:c>
      <x:c r="D26" s="147" t="str">
        <x:v>bi-compass</x:v>
      </x:c>
      <x:c r="E26" s="147" t="str">
        <x:v>Phong cách tour</x:v>
      </x:c>
      <x:c r="F26" s="147" t="str">
        <x:v>Gia đình / Eco Travel</x:v>
      </x:c>
      <x:c r="G26" s="147" t="str">
        <x:v>Trải nghiệm xanh phù hợp với gia đình, cặp đôi hoặc nhóm bạn.</x:v>
      </x:c>
      <x:c r="H26" s="165" t="n">
        <x:v>1</x:v>
      </x:c>
    </x:row>
    <x:row r="27">
      <x:c r="A27" s="161" t="str">
        <x:v>FEAT-SCHDL005-02</x:v>
      </x:c>
      <x:c r="B27" s="147" t="str">
        <x:v>SCHDL005</x:v>
      </x:c>
      <x:c r="C27" s="147" t="str">
        <x:v>service</x:v>
      </x:c>
      <x:c r="D27" s="147" t="str">
        <x:v>bi-list-check</x:v>
      </x:c>
      <x:c r="E27" s="147" t="str">
        <x:v>Dịch vụ</x:v>
      </x:c>
      <x:c r="F27" s="147" t="str">
        <x:v>Gói trọn tiêu chuẩn</x:v>
      </x:c>
      <x:c r="G27" s="147" t="str">
        <x:v>Bao gồm các dịch vụ chính được nêu trong lịch trình.</x:v>
      </x:c>
      <x:c r="H27" s="165" t="n">
        <x:v>2</x:v>
      </x:c>
    </x:row>
    <x:row r="28">
      <x:c r="A28" s="161" t="str">
        <x:v>FEAT-SCHDL005-03</x:v>
      </x:c>
      <x:c r="B28" s="147" t="str">
        <x:v>SCHDL005</x:v>
      </x:c>
      <x:c r="C28" s="147" t="str">
        <x:v>guide</x:v>
      </x:c>
      <x:c r="D28" s="147" t="str">
        <x:v>bi-person-badge</x:v>
      </x:c>
      <x:c r="E28" s="147" t="str">
        <x:v>Hướng dẫn viên</x:v>
      </x:c>
      <x:c r="F28" s="147" t="str">
        <x:v>Toàn thời gian</x:v>
      </x:c>
      <x:c r="G28" s="147" t="str">
        <x:v>Đồng hành, hỗ trợ và điều phối trong suốt hành trình.</x:v>
      </x:c>
      <x:c r="H28" s="165" t="n">
        <x:v>3</x:v>
      </x:c>
    </x:row>
    <x:row r="29">
      <x:c r="A29" s="161" t="str">
        <x:v>FEAT-SCHDL005-04</x:v>
      </x:c>
      <x:c r="B29" s="147" t="str">
        <x:v>SCHDL005</x:v>
      </x:c>
      <x:c r="C29" s="147" t="str">
        <x:v>difficulty</x:v>
      </x:c>
      <x:c r="D29" s="147" t="str">
        <x:v>bi-activity</x:v>
      </x:c>
      <x:c r="E29" s="147" t="str">
        <x:v>Mức độ vận động</x:v>
      </x:c>
      <x:c r="F29" s="147" t="str">
        <x:v>Nhẹ</x:v>
      </x:c>
      <x:c r="G29" s="147" t="str">
        <x:v>Cường độ được thiết kế phù hợp với nhịp độ chung của tour.</x:v>
      </x:c>
      <x:c r="H29" s="165" t="n">
        <x:v>4</x:v>
      </x:c>
    </x:row>
    <x:row r="30">
      <x:c r="A30" s="161" t="str">
        <x:v>FEAT-SCHDL005-05</x:v>
      </x:c>
      <x:c r="B30" s="147" t="str">
        <x:v>SCHDL005</x:v>
      </x:c>
      <x:c r="C30" s="147" t="str">
        <x:v>group</x:v>
      </x:c>
      <x:c r="D30" s="147" t="str">
        <x:v>bi-people</x:v>
      </x:c>
      <x:c r="E30" s="147" t="str">
        <x:v>Nhóm khách</x:v>
      </x:c>
      <x:c r="F30" s="147" t="str">
        <x:v>Nhóm nhỏ 1–12 khách</x:v>
      </x:c>
      <x:c r="G30" s="147" t="str">
        <x:v>Ưu tiên trải nghiệm gần gũi và hạn chế quá tải điểm đến.</x:v>
      </x:c>
      <x:c r="H30" s="165" t="n">
        <x:v>5</x:v>
      </x:c>
    </x:row>
    <x:row r="31">
      <x:c r="A31" s="161" t="str">
        <x:v>FEAT-SCHDL005-06</x:v>
      </x:c>
      <x:c r="B31" s="147" t="str">
        <x:v>SCHDL005</x:v>
      </x:c>
      <x:c r="C31" s="147" t="str">
        <x:v>carbon</x:v>
      </x:c>
      <x:c r="D31" s="147" t="str">
        <x:v>bi-leaf</x:v>
      </x:c>
      <x:c r="E31" s="147" t="str">
        <x:v>Phát thải carbon</x:v>
      </x:c>
      <x:c r="F31" s="147" t="str">
        <x:v>Giảm ước tính 3.7 kg CO₂e</x:v>
      </x:c>
      <x:c r="G31" s="147" t="str">
        <x:v>Giá trị ước tính từ các hoạt động của tour 1 ngày 0 đêm.</x:v>
      </x:c>
      <x:c r="H31" s="165" t="n">
        <x:v>6</x:v>
      </x:c>
    </x:row>
    <x:row r="32">
      <x:c r="A32" s="161" t="str">
        <x:v>FEAT-SCHDL006-01</x:v>
      </x:c>
      <x:c r="B32" s="147" t="str">
        <x:v>SCHDL006</x:v>
      </x:c>
      <x:c r="C32" s="147" t="str">
        <x:v>tour_style</x:v>
      </x:c>
      <x:c r="D32" s="147" t="str">
        <x:v>bi-compass</x:v>
      </x:c>
      <x:c r="E32" s="147" t="str">
        <x:v>Phong cách tour</x:v>
      </x:c>
      <x:c r="F32" s="147" t="str">
        <x:v>Gia đình / Eco Travel</x:v>
      </x:c>
      <x:c r="G32" s="147" t="str">
        <x:v>Trải nghiệm xanh phù hợp với gia đình, cặp đôi hoặc nhóm bạn.</x:v>
      </x:c>
      <x:c r="H32" s="165" t="n">
        <x:v>1</x:v>
      </x:c>
    </x:row>
    <x:row r="33">
      <x:c r="A33" s="161" t="str">
        <x:v>FEAT-SCHDL006-02</x:v>
      </x:c>
      <x:c r="B33" s="147" t="str">
        <x:v>SCHDL006</x:v>
      </x:c>
      <x:c r="C33" s="147" t="str">
        <x:v>service</x:v>
      </x:c>
      <x:c r="D33" s="147" t="str">
        <x:v>bi-list-check</x:v>
      </x:c>
      <x:c r="E33" s="147" t="str">
        <x:v>Dịch vụ</x:v>
      </x:c>
      <x:c r="F33" s="147" t="str">
        <x:v>Gói trọn tiêu chuẩn</x:v>
      </x:c>
      <x:c r="G33" s="147" t="str">
        <x:v>Bao gồm các dịch vụ chính được nêu trong lịch trình.</x:v>
      </x:c>
      <x:c r="H33" s="165" t="n">
        <x:v>2</x:v>
      </x:c>
    </x:row>
    <x:row r="34">
      <x:c r="A34" s="161" t="str">
        <x:v>FEAT-SCHDL006-03</x:v>
      </x:c>
      <x:c r="B34" s="147" t="str">
        <x:v>SCHDL006</x:v>
      </x:c>
      <x:c r="C34" s="147" t="str">
        <x:v>guide</x:v>
      </x:c>
      <x:c r="D34" s="147" t="str">
        <x:v>bi-person-badge</x:v>
      </x:c>
      <x:c r="E34" s="147" t="str">
        <x:v>Hướng dẫn viên</x:v>
      </x:c>
      <x:c r="F34" s="147" t="str">
        <x:v>Toàn thời gian</x:v>
      </x:c>
      <x:c r="G34" s="147" t="str">
        <x:v>Đồng hành, hỗ trợ và điều phối trong suốt hành trình.</x:v>
      </x:c>
      <x:c r="H34" s="165" t="n">
        <x:v>3</x:v>
      </x:c>
    </x:row>
    <x:row r="35">
      <x:c r="A35" s="161" t="str">
        <x:v>FEAT-SCHDL006-04</x:v>
      </x:c>
      <x:c r="B35" s="147" t="str">
        <x:v>SCHDL006</x:v>
      </x:c>
      <x:c r="C35" s="147" t="str">
        <x:v>difficulty</x:v>
      </x:c>
      <x:c r="D35" s="147" t="str">
        <x:v>bi-activity</x:v>
      </x:c>
      <x:c r="E35" s="147" t="str">
        <x:v>Mức độ vận động</x:v>
      </x:c>
      <x:c r="F35" s="147" t="str">
        <x:v>Trung bình</x:v>
      </x:c>
      <x:c r="G35" s="147" t="str">
        <x:v>Cường độ được thiết kế phù hợp với nhịp độ chung của tour.</x:v>
      </x:c>
      <x:c r="H35" s="165" t="n">
        <x:v>4</x:v>
      </x:c>
    </x:row>
    <x:row r="36">
      <x:c r="A36" s="161" t="str">
        <x:v>FEAT-SCHDL006-05</x:v>
      </x:c>
      <x:c r="B36" s="147" t="str">
        <x:v>SCHDL006</x:v>
      </x:c>
      <x:c r="C36" s="147" t="str">
        <x:v>group</x:v>
      </x:c>
      <x:c r="D36" s="147" t="str">
        <x:v>bi-people</x:v>
      </x:c>
      <x:c r="E36" s="147" t="str">
        <x:v>Nhóm khách</x:v>
      </x:c>
      <x:c r="F36" s="147" t="str">
        <x:v>Nhóm nhỏ 1–10 khách</x:v>
      </x:c>
      <x:c r="G36" s="147" t="str">
        <x:v>Ưu tiên trải nghiệm gần gũi và hạn chế quá tải điểm đến.</x:v>
      </x:c>
      <x:c r="H36" s="165" t="n">
        <x:v>5</x:v>
      </x:c>
    </x:row>
    <x:row r="37">
      <x:c r="A37" s="161" t="str">
        <x:v>FEAT-SCHDL006-06</x:v>
      </x:c>
      <x:c r="B37" s="147" t="str">
        <x:v>SCHDL006</x:v>
      </x:c>
      <x:c r="C37" s="147" t="str">
        <x:v>carbon</x:v>
      </x:c>
      <x:c r="D37" s="147" t="str">
        <x:v>bi-leaf</x:v>
      </x:c>
      <x:c r="E37" s="147" t="str">
        <x:v>Phát thải carbon</x:v>
      </x:c>
      <x:c r="F37" s="147" t="str">
        <x:v>Giảm ước tính 10.8 kg CO₂e</x:v>
      </x:c>
      <x:c r="G37" s="147" t="str">
        <x:v>Giá trị ước tính từ các hoạt động của tour 2 ngày 1 đêm.</x:v>
      </x:c>
      <x:c r="H37" s="165" t="n">
        <x:v>6</x:v>
      </x:c>
    </x:row>
    <x:row r="38">
      <x:c r="A38" s="161" t="str">
        <x:v>FEAT-SCHDL007-01</x:v>
      </x:c>
      <x:c r="B38" s="147" t="str">
        <x:v>SCHDL007</x:v>
      </x:c>
      <x:c r="C38" s="147" t="str">
        <x:v>tour_style</x:v>
      </x:c>
      <x:c r="D38" s="147" t="str">
        <x:v>bi-compass</x:v>
      </x:c>
      <x:c r="E38" s="147" t="str">
        <x:v>Phong cách tour</x:v>
      </x:c>
      <x:c r="F38" s="147" t="str">
        <x:v>Gia đình / Eco Travel</x:v>
      </x:c>
      <x:c r="G38" s="147" t="str">
        <x:v>Trải nghiệm xanh phù hợp với gia đình, cặp đôi hoặc nhóm bạn.</x:v>
      </x:c>
      <x:c r="H38" s="165" t="n">
        <x:v>1</x:v>
      </x:c>
    </x:row>
    <x:row r="39">
      <x:c r="A39" s="161" t="str">
        <x:v>FEAT-SCHDL007-02</x:v>
      </x:c>
      <x:c r="B39" s="147" t="str">
        <x:v>SCHDL007</x:v>
      </x:c>
      <x:c r="C39" s="147" t="str">
        <x:v>service</x:v>
      </x:c>
      <x:c r="D39" s="147" t="str">
        <x:v>bi-list-check</x:v>
      </x:c>
      <x:c r="E39" s="147" t="str">
        <x:v>Dịch vụ</x:v>
      </x:c>
      <x:c r="F39" s="147" t="str">
        <x:v>Gói trọn tiêu chuẩn</x:v>
      </x:c>
      <x:c r="G39" s="147" t="str">
        <x:v>Bao gồm các dịch vụ chính được nêu trong lịch trình.</x:v>
      </x:c>
      <x:c r="H39" s="165" t="n">
        <x:v>2</x:v>
      </x:c>
    </x:row>
    <x:row r="40">
      <x:c r="A40" s="161" t="str">
        <x:v>FEAT-SCHDL007-03</x:v>
      </x:c>
      <x:c r="B40" s="147" t="str">
        <x:v>SCHDL007</x:v>
      </x:c>
      <x:c r="C40" s="147" t="str">
        <x:v>guide</x:v>
      </x:c>
      <x:c r="D40" s="147" t="str">
        <x:v>bi-person-badge</x:v>
      </x:c>
      <x:c r="E40" s="147" t="str">
        <x:v>Hướng dẫn viên</x:v>
      </x:c>
      <x:c r="F40" s="147" t="str">
        <x:v>Toàn thời gian</x:v>
      </x:c>
      <x:c r="G40" s="147" t="str">
        <x:v>Đồng hành, hỗ trợ và điều phối trong suốt hành trình.</x:v>
      </x:c>
      <x:c r="H40" s="165" t="n">
        <x:v>3</x:v>
      </x:c>
    </x:row>
    <x:row r="41">
      <x:c r="A41" s="161" t="str">
        <x:v>FEAT-SCHDL007-04</x:v>
      </x:c>
      <x:c r="B41" s="147" t="str">
        <x:v>SCHDL007</x:v>
      </x:c>
      <x:c r="C41" s="147" t="str">
        <x:v>difficulty</x:v>
      </x:c>
      <x:c r="D41" s="147" t="str">
        <x:v>bi-activity</x:v>
      </x:c>
      <x:c r="E41" s="147" t="str">
        <x:v>Mức độ vận động</x:v>
      </x:c>
      <x:c r="F41" s="147" t="str">
        <x:v>Nhẹ</x:v>
      </x:c>
      <x:c r="G41" s="147" t="str">
        <x:v>Cường độ được thiết kế phù hợp với nhịp độ chung của tour.</x:v>
      </x:c>
      <x:c r="H41" s="165" t="n">
        <x:v>4</x:v>
      </x:c>
    </x:row>
    <x:row r="42">
      <x:c r="A42" s="161" t="str">
        <x:v>FEAT-SCHDL007-05</x:v>
      </x:c>
      <x:c r="B42" s="147" t="str">
        <x:v>SCHDL007</x:v>
      </x:c>
      <x:c r="C42" s="147" t="str">
        <x:v>group</x:v>
      </x:c>
      <x:c r="D42" s="147" t="str">
        <x:v>bi-people</x:v>
      </x:c>
      <x:c r="E42" s="147" t="str">
        <x:v>Nhóm khách</x:v>
      </x:c>
      <x:c r="F42" s="147" t="str">
        <x:v>Nhóm nhỏ 1–12 khách</x:v>
      </x:c>
      <x:c r="G42" s="147" t="str">
        <x:v>Ưu tiên trải nghiệm gần gũi và hạn chế quá tải điểm đến.</x:v>
      </x:c>
      <x:c r="H42" s="165" t="n">
        <x:v>5</x:v>
      </x:c>
    </x:row>
    <x:row r="43">
      <x:c r="A43" s="161" t="str">
        <x:v>FEAT-SCHDL007-06</x:v>
      </x:c>
      <x:c r="B43" s="147" t="str">
        <x:v>SCHDL007</x:v>
      </x:c>
      <x:c r="C43" s="147" t="str">
        <x:v>carbon</x:v>
      </x:c>
      <x:c r="D43" s="147" t="str">
        <x:v>bi-leaf</x:v>
      </x:c>
      <x:c r="E43" s="147" t="str">
        <x:v>Phát thải carbon</x:v>
      </x:c>
      <x:c r="F43" s="147" t="str">
        <x:v>Giảm ước tính 9.6 kg CO₂e</x:v>
      </x:c>
      <x:c r="G43" s="147" t="str">
        <x:v>Giá trị ước tính từ các hoạt động của tour 2 ngày 1 đêm.</x:v>
      </x:c>
      <x:c r="H43" s="165" t="n">
        <x:v>6</x:v>
      </x:c>
    </x:row>
    <x:row r="44">
      <x:c r="A44" s="161" t="str">
        <x:v>FEAT-SCHDL008-01</x:v>
      </x:c>
      <x:c r="B44" s="147" t="str">
        <x:v>SCHDL008</x:v>
      </x:c>
      <x:c r="C44" s="147" t="str">
        <x:v>tour_style</x:v>
      </x:c>
      <x:c r="D44" s="147" t="str">
        <x:v>bi-compass</x:v>
      </x:c>
      <x:c r="E44" s="147" t="str">
        <x:v>Phong cách tour</x:v>
      </x:c>
      <x:c r="F44" s="147" t="str">
        <x:v>Gia đình / Eco Travel</x:v>
      </x:c>
      <x:c r="G44" s="147" t="str">
        <x:v>Trải nghiệm xanh phù hợp với gia đình, cặp đôi hoặc nhóm bạn.</x:v>
      </x:c>
      <x:c r="H44" s="165" t="n">
        <x:v>1</x:v>
      </x:c>
    </x:row>
    <x:row r="45">
      <x:c r="A45" s="161" t="str">
        <x:v>FEAT-SCHDL008-02</x:v>
      </x:c>
      <x:c r="B45" s="147" t="str">
        <x:v>SCHDL008</x:v>
      </x:c>
      <x:c r="C45" s="147" t="str">
        <x:v>service</x:v>
      </x:c>
      <x:c r="D45" s="147" t="str">
        <x:v>bi-list-check</x:v>
      </x:c>
      <x:c r="E45" s="147" t="str">
        <x:v>Dịch vụ</x:v>
      </x:c>
      <x:c r="F45" s="147" t="str">
        <x:v>Gói trọn tiêu chuẩn</x:v>
      </x:c>
      <x:c r="G45" s="147" t="str">
        <x:v>Bao gồm các dịch vụ chính được nêu trong lịch trình.</x:v>
      </x:c>
      <x:c r="H45" s="165" t="n">
        <x:v>2</x:v>
      </x:c>
    </x:row>
    <x:row r="46">
      <x:c r="A46" s="161" t="str">
        <x:v>FEAT-SCHDL008-03</x:v>
      </x:c>
      <x:c r="B46" s="147" t="str">
        <x:v>SCHDL008</x:v>
      </x:c>
      <x:c r="C46" s="147" t="str">
        <x:v>guide</x:v>
      </x:c>
      <x:c r="D46" s="147" t="str">
        <x:v>bi-person-badge</x:v>
      </x:c>
      <x:c r="E46" s="147" t="str">
        <x:v>Hướng dẫn viên</x:v>
      </x:c>
      <x:c r="F46" s="147" t="str">
        <x:v>Toàn thời gian</x:v>
      </x:c>
      <x:c r="G46" s="147" t="str">
        <x:v>Đồng hành, hỗ trợ và điều phối trong suốt hành trình.</x:v>
      </x:c>
      <x:c r="H46" s="165" t="n">
        <x:v>3</x:v>
      </x:c>
    </x:row>
    <x:row r="47">
      <x:c r="A47" s="161" t="str">
        <x:v>FEAT-SCHDL008-04</x:v>
      </x:c>
      <x:c r="B47" s="147" t="str">
        <x:v>SCHDL008</x:v>
      </x:c>
      <x:c r="C47" s="147" t="str">
        <x:v>difficulty</x:v>
      </x:c>
      <x:c r="D47" s="147" t="str">
        <x:v>bi-activity</x:v>
      </x:c>
      <x:c r="E47" s="147" t="str">
        <x:v>Mức độ vận động</x:v>
      </x:c>
      <x:c r="F47" s="147" t="str">
        <x:v>Nhẹ</x:v>
      </x:c>
      <x:c r="G47" s="147" t="str">
        <x:v>Cường độ được thiết kế phù hợp với nhịp độ chung của tour.</x:v>
      </x:c>
      <x:c r="H47" s="165" t="n">
        <x:v>4</x:v>
      </x:c>
    </x:row>
    <x:row r="48">
      <x:c r="A48" s="161" t="str">
        <x:v>FEAT-SCHDL008-05</x:v>
      </x:c>
      <x:c r="B48" s="147" t="str">
        <x:v>SCHDL008</x:v>
      </x:c>
      <x:c r="C48" s="147" t="str">
        <x:v>group</x:v>
      </x:c>
      <x:c r="D48" s="147" t="str">
        <x:v>bi-people</x:v>
      </x:c>
      <x:c r="E48" s="147" t="str">
        <x:v>Nhóm khách</x:v>
      </x:c>
      <x:c r="F48" s="147" t="str">
        <x:v>Nhóm nhỏ 1–12 khách</x:v>
      </x:c>
      <x:c r="G48" s="147" t="str">
        <x:v>Ưu tiên trải nghiệm gần gũi và hạn chế quá tải điểm đến.</x:v>
      </x:c>
      <x:c r="H48" s="165" t="n">
        <x:v>5</x:v>
      </x:c>
    </x:row>
    <x:row r="49">
      <x:c r="A49" s="161" t="str">
        <x:v>FEAT-SCHDL008-06</x:v>
      </x:c>
      <x:c r="B49" s="147" t="str">
        <x:v>SCHDL008</x:v>
      </x:c>
      <x:c r="C49" s="147" t="str">
        <x:v>carbon</x:v>
      </x:c>
      <x:c r="D49" s="147" t="str">
        <x:v>bi-leaf</x:v>
      </x:c>
      <x:c r="E49" s="147" t="str">
        <x:v>Phát thải carbon</x:v>
      </x:c>
      <x:c r="F49" s="147" t="str">
        <x:v>Giảm ước tính 6.8 kg CO₂e</x:v>
      </x:c>
      <x:c r="G49" s="147" t="str">
        <x:v>Giá trị ước tính từ các hoạt động của tour 2 ngày 1 đêm.</x:v>
      </x:c>
      <x:c r="H49" s="165" t="n">
        <x:v>6</x:v>
      </x:c>
    </x:row>
    <x:row r="50">
      <x:c r="A50" s="161" t="str">
        <x:v>FEAT-SCHDN009-01</x:v>
      </x:c>
      <x:c r="B50" s="147" t="str">
        <x:v>SCHDN009</x:v>
      </x:c>
      <x:c r="C50" s="147" t="str">
        <x:v>tour_style</x:v>
      </x:c>
      <x:c r="D50" s="147" t="str">
        <x:v>bi-compass</x:v>
      </x:c>
      <x:c r="E50" s="147" t="str">
        <x:v>Phong cách tour</x:v>
      </x:c>
      <x:c r="F50" s="147" t="str">
        <x:v>Gia đình / Eco Travel</x:v>
      </x:c>
      <x:c r="G50" s="147" t="str">
        <x:v>Trải nghiệm xanh phù hợp với gia đình, cặp đôi hoặc nhóm bạn.</x:v>
      </x:c>
      <x:c r="H50" s="165" t="n">
        <x:v>1</x:v>
      </x:c>
    </x:row>
    <x:row r="51">
      <x:c r="A51" s="161" t="str">
        <x:v>FEAT-SCHDN009-02</x:v>
      </x:c>
      <x:c r="B51" s="147" t="str">
        <x:v>SCHDN009</x:v>
      </x:c>
      <x:c r="C51" s="147" t="str">
        <x:v>service</x:v>
      </x:c>
      <x:c r="D51" s="147" t="str">
        <x:v>bi-list-check</x:v>
      </x:c>
      <x:c r="E51" s="147" t="str">
        <x:v>Dịch vụ</x:v>
      </x:c>
      <x:c r="F51" s="147" t="str">
        <x:v>Gói trọn tiêu chuẩn</x:v>
      </x:c>
      <x:c r="G51" s="147" t="str">
        <x:v>Bao gồm các dịch vụ chính được nêu trong lịch trình.</x:v>
      </x:c>
      <x:c r="H51" s="165" t="n">
        <x:v>2</x:v>
      </x:c>
    </x:row>
    <x:row r="52">
      <x:c r="A52" s="161" t="str">
        <x:v>FEAT-SCHDN009-03</x:v>
      </x:c>
      <x:c r="B52" s="147" t="str">
        <x:v>SCHDN009</x:v>
      </x:c>
      <x:c r="C52" s="147" t="str">
        <x:v>guide</x:v>
      </x:c>
      <x:c r="D52" s="147" t="str">
        <x:v>bi-person-badge</x:v>
      </x:c>
      <x:c r="E52" s="147" t="str">
        <x:v>Hướng dẫn viên</x:v>
      </x:c>
      <x:c r="F52" s="147" t="str">
        <x:v>Toàn thời gian</x:v>
      </x:c>
      <x:c r="G52" s="147" t="str">
        <x:v>Đồng hành, hỗ trợ và điều phối trong suốt hành trình.</x:v>
      </x:c>
      <x:c r="H52" s="165" t="n">
        <x:v>3</x:v>
      </x:c>
    </x:row>
    <x:row r="53">
      <x:c r="A53" s="161" t="str">
        <x:v>FEAT-SCHDN009-04</x:v>
      </x:c>
      <x:c r="B53" s="147" t="str">
        <x:v>SCHDN009</x:v>
      </x:c>
      <x:c r="C53" s="147" t="str">
        <x:v>difficulty</x:v>
      </x:c>
      <x:c r="D53" s="147" t="str">
        <x:v>bi-activity</x:v>
      </x:c>
      <x:c r="E53" s="147" t="str">
        <x:v>Mức độ vận động</x:v>
      </x:c>
      <x:c r="F53" s="147" t="str">
        <x:v>Nhẹ</x:v>
      </x:c>
      <x:c r="G53" s="147" t="str">
        <x:v>Cường độ được thiết kế phù hợp với nhịp độ chung của tour.</x:v>
      </x:c>
      <x:c r="H53" s="165" t="n">
        <x:v>4</x:v>
      </x:c>
    </x:row>
    <x:row r="54">
      <x:c r="A54" s="161" t="str">
        <x:v>FEAT-SCHDN009-05</x:v>
      </x:c>
      <x:c r="B54" s="147" t="str">
        <x:v>SCHDN009</x:v>
      </x:c>
      <x:c r="C54" s="147" t="str">
        <x:v>group</x:v>
      </x:c>
      <x:c r="D54" s="147" t="str">
        <x:v>bi-people</x:v>
      </x:c>
      <x:c r="E54" s="147" t="str">
        <x:v>Nhóm khách</x:v>
      </x:c>
      <x:c r="F54" s="147" t="str">
        <x:v>Nhóm nhỏ 1–12 khách</x:v>
      </x:c>
      <x:c r="G54" s="147" t="str">
        <x:v>Ưu tiên trải nghiệm gần gũi và hạn chế quá tải điểm đến.</x:v>
      </x:c>
      <x:c r="H54" s="165" t="n">
        <x:v>5</x:v>
      </x:c>
    </x:row>
    <x:row r="55">
      <x:c r="A55" s="161" t="str">
        <x:v>FEAT-SCHDN009-06</x:v>
      </x:c>
      <x:c r="B55" s="147" t="str">
        <x:v>SCHDN009</x:v>
      </x:c>
      <x:c r="C55" s="147" t="str">
        <x:v>carbon</x:v>
      </x:c>
      <x:c r="D55" s="147" t="str">
        <x:v>bi-leaf</x:v>
      </x:c>
      <x:c r="E55" s="147" t="str">
        <x:v>Phát thải carbon</x:v>
      </x:c>
      <x:c r="F55" s="147" t="str">
        <x:v>Giảm ước tính 8.0 kg CO₂e</x:v>
      </x:c>
      <x:c r="G55" s="147" t="str">
        <x:v>Giá trị ước tính từ các hoạt động của tour 2 ngày 1 đêm.</x:v>
      </x:c>
      <x:c r="H55" s="165" t="n">
        <x:v>6</x:v>
      </x:c>
    </x:row>
    <x:row r="56">
      <x:c r="A56" s="161" t="str">
        <x:v>FEAT-SCHDN010-01</x:v>
      </x:c>
      <x:c r="B56" s="147" t="str">
        <x:v>SCHDN010</x:v>
      </x:c>
      <x:c r="C56" s="147" t="str">
        <x:v>tour_style</x:v>
      </x:c>
      <x:c r="D56" s="147" t="str">
        <x:v>bi-compass</x:v>
      </x:c>
      <x:c r="E56" s="147" t="str">
        <x:v>Phong cách tour</x:v>
      </x:c>
      <x:c r="F56" s="147" t="str">
        <x:v>Gia đình / Eco Travel</x:v>
      </x:c>
      <x:c r="G56" s="147" t="str">
        <x:v>Trải nghiệm xanh phù hợp với gia đình, cặp đôi hoặc nhóm bạn.</x:v>
      </x:c>
      <x:c r="H56" s="165" t="n">
        <x:v>1</x:v>
      </x:c>
    </x:row>
    <x:row r="57">
      <x:c r="A57" s="161" t="str">
        <x:v>FEAT-SCHDN010-02</x:v>
      </x:c>
      <x:c r="B57" s="147" t="str">
        <x:v>SCHDN010</x:v>
      </x:c>
      <x:c r="C57" s="147" t="str">
        <x:v>service</x:v>
      </x:c>
      <x:c r="D57" s="147" t="str">
        <x:v>bi-list-check</x:v>
      </x:c>
      <x:c r="E57" s="147" t="str">
        <x:v>Dịch vụ</x:v>
      </x:c>
      <x:c r="F57" s="147" t="str">
        <x:v>Gói trọn tiêu chuẩn</x:v>
      </x:c>
      <x:c r="G57" s="147" t="str">
        <x:v>Bao gồm các dịch vụ chính được nêu trong lịch trình.</x:v>
      </x:c>
      <x:c r="H57" s="165" t="n">
        <x:v>2</x:v>
      </x:c>
    </x:row>
    <x:row r="58">
      <x:c r="A58" s="161" t="str">
        <x:v>FEAT-SCHDN010-03</x:v>
      </x:c>
      <x:c r="B58" s="147" t="str">
        <x:v>SCHDN010</x:v>
      </x:c>
      <x:c r="C58" s="147" t="str">
        <x:v>guide</x:v>
      </x:c>
      <x:c r="D58" s="147" t="str">
        <x:v>bi-person-badge</x:v>
      </x:c>
      <x:c r="E58" s="147" t="str">
        <x:v>Hướng dẫn viên</x:v>
      </x:c>
      <x:c r="F58" s="147" t="str">
        <x:v>Toàn thời gian</x:v>
      </x:c>
      <x:c r="G58" s="147" t="str">
        <x:v>Đồng hành, hỗ trợ và điều phối trong suốt hành trình.</x:v>
      </x:c>
      <x:c r="H58" s="165" t="n">
        <x:v>3</x:v>
      </x:c>
    </x:row>
    <x:row r="59">
      <x:c r="A59" s="161" t="str">
        <x:v>FEAT-SCHDN010-04</x:v>
      </x:c>
      <x:c r="B59" s="147" t="str">
        <x:v>SCHDN010</x:v>
      </x:c>
      <x:c r="C59" s="147" t="str">
        <x:v>difficulty</x:v>
      </x:c>
      <x:c r="D59" s="147" t="str">
        <x:v>bi-activity</x:v>
      </x:c>
      <x:c r="E59" s="147" t="str">
        <x:v>Mức độ vận động</x:v>
      </x:c>
      <x:c r="F59" s="147" t="str">
        <x:v>Nhẹ</x:v>
      </x:c>
      <x:c r="G59" s="147" t="str">
        <x:v>Cường độ được thiết kế phù hợp với nhịp độ chung của tour.</x:v>
      </x:c>
      <x:c r="H59" s="165" t="n">
        <x:v>4</x:v>
      </x:c>
    </x:row>
    <x:row r="60">
      <x:c r="A60" s="161" t="str">
        <x:v>FEAT-SCHDN010-05</x:v>
      </x:c>
      <x:c r="B60" s="147" t="str">
        <x:v>SCHDN010</x:v>
      </x:c>
      <x:c r="C60" s="147" t="str">
        <x:v>group</x:v>
      </x:c>
      <x:c r="D60" s="147" t="str">
        <x:v>bi-people</x:v>
      </x:c>
      <x:c r="E60" s="147" t="str">
        <x:v>Nhóm khách</x:v>
      </x:c>
      <x:c r="F60" s="147" t="str">
        <x:v>Nhóm nhỏ 1–12 khách</x:v>
      </x:c>
      <x:c r="G60" s="147" t="str">
        <x:v>Ưu tiên trải nghiệm gần gũi và hạn chế quá tải điểm đến.</x:v>
      </x:c>
      <x:c r="H60" s="165" t="n">
        <x:v>5</x:v>
      </x:c>
    </x:row>
    <x:row r="61">
      <x:c r="A61" s="161" t="str">
        <x:v>FEAT-SCHDN010-06</x:v>
      </x:c>
      <x:c r="B61" s="147" t="str">
        <x:v>SCHDN010</x:v>
      </x:c>
      <x:c r="C61" s="147" t="str">
        <x:v>carbon</x:v>
      </x:c>
      <x:c r="D61" s="147" t="str">
        <x:v>bi-leaf</x:v>
      </x:c>
      <x:c r="E61" s="147" t="str">
        <x:v>Phát thải carbon</x:v>
      </x:c>
      <x:c r="F61" s="147" t="str">
        <x:v>Giảm ước tính 9.6 kg CO₂e</x:v>
      </x:c>
      <x:c r="G61" s="147" t="str">
        <x:v>Giá trị ước tính từ các hoạt động của tour 1 ngày 0 đêm.</x:v>
      </x:c>
      <x:c r="H61" s="165" t="n">
        <x:v>6</x:v>
      </x:c>
    </x:row>
    <x:row r="62">
      <x:c r="A62" s="161" t="str">
        <x:v>FEAT-SCHHA011-01</x:v>
      </x:c>
      <x:c r="B62" s="147" t="str">
        <x:v>SCHHA011</x:v>
      </x:c>
      <x:c r="C62" s="147" t="str">
        <x:v>tour_style</x:v>
      </x:c>
      <x:c r="D62" s="147" t="str">
        <x:v>bi-compass</x:v>
      </x:c>
      <x:c r="E62" s="147" t="str">
        <x:v>Phong cách tour</x:v>
      </x:c>
      <x:c r="F62" s="147" t="str">
        <x:v>Gia đình / Eco Travel</x:v>
      </x:c>
      <x:c r="G62" s="147" t="str">
        <x:v>Trải nghiệm xanh phù hợp với gia đình, cặp đôi hoặc nhóm bạn.</x:v>
      </x:c>
      <x:c r="H62" s="165" t="n">
        <x:v>1</x:v>
      </x:c>
    </x:row>
    <x:row r="63">
      <x:c r="A63" s="161" t="str">
        <x:v>FEAT-SCHHA011-02</x:v>
      </x:c>
      <x:c r="B63" s="147" t="str">
        <x:v>SCHHA011</x:v>
      </x:c>
      <x:c r="C63" s="147" t="str">
        <x:v>service</x:v>
      </x:c>
      <x:c r="D63" s="147" t="str">
        <x:v>bi-list-check</x:v>
      </x:c>
      <x:c r="E63" s="147" t="str">
        <x:v>Dịch vụ</x:v>
      </x:c>
      <x:c r="F63" s="147" t="str">
        <x:v>Gói trọn tiêu chuẩn</x:v>
      </x:c>
      <x:c r="G63" s="147" t="str">
        <x:v>Bao gồm các dịch vụ chính được nêu trong lịch trình.</x:v>
      </x:c>
      <x:c r="H63" s="165" t="n">
        <x:v>2</x:v>
      </x:c>
    </x:row>
    <x:row r="64">
      <x:c r="A64" s="161" t="str">
        <x:v>FEAT-SCHHA011-03</x:v>
      </x:c>
      <x:c r="B64" s="147" t="str">
        <x:v>SCHHA011</x:v>
      </x:c>
      <x:c r="C64" s="147" t="str">
        <x:v>guide</x:v>
      </x:c>
      <x:c r="D64" s="147" t="str">
        <x:v>bi-person-badge</x:v>
      </x:c>
      <x:c r="E64" s="147" t="str">
        <x:v>Hướng dẫn viên</x:v>
      </x:c>
      <x:c r="F64" s="147" t="str">
        <x:v>Toàn thời gian</x:v>
      </x:c>
      <x:c r="G64" s="147" t="str">
        <x:v>Đồng hành, hỗ trợ và điều phối trong suốt hành trình.</x:v>
      </x:c>
      <x:c r="H64" s="165" t="n">
        <x:v>3</x:v>
      </x:c>
    </x:row>
    <x:row r="65">
      <x:c r="A65" s="161" t="str">
        <x:v>FEAT-SCHHA011-04</x:v>
      </x:c>
      <x:c r="B65" s="147" t="str">
        <x:v>SCHHA011</x:v>
      </x:c>
      <x:c r="C65" s="147" t="str">
        <x:v>difficulty</x:v>
      </x:c>
      <x:c r="D65" s="147" t="str">
        <x:v>bi-activity</x:v>
      </x:c>
      <x:c r="E65" s="147" t="str">
        <x:v>Mức độ vận động</x:v>
      </x:c>
      <x:c r="F65" s="147" t="str">
        <x:v>Nhẹ</x:v>
      </x:c>
      <x:c r="G65" s="147" t="str">
        <x:v>Cường độ được thiết kế phù hợp với nhịp độ chung của tour.</x:v>
      </x:c>
      <x:c r="H65" s="165" t="n">
        <x:v>4</x:v>
      </x:c>
    </x:row>
    <x:row r="66">
      <x:c r="A66" s="161" t="str">
        <x:v>FEAT-SCHHA011-05</x:v>
      </x:c>
      <x:c r="B66" s="147" t="str">
        <x:v>SCHHA011</x:v>
      </x:c>
      <x:c r="C66" s="147" t="str">
        <x:v>group</x:v>
      </x:c>
      <x:c r="D66" s="147" t="str">
        <x:v>bi-people</x:v>
      </x:c>
      <x:c r="E66" s="147" t="str">
        <x:v>Nhóm khách</x:v>
      </x:c>
      <x:c r="F66" s="147" t="str">
        <x:v>Nhóm nhỏ 1–12 khách</x:v>
      </x:c>
      <x:c r="G66" s="147" t="str">
        <x:v>Ưu tiên trải nghiệm gần gũi và hạn chế quá tải điểm đến.</x:v>
      </x:c>
      <x:c r="H66" s="165" t="n">
        <x:v>5</x:v>
      </x:c>
    </x:row>
    <x:row r="67">
      <x:c r="A67" s="161" t="str">
        <x:v>FEAT-SCHHA011-06</x:v>
      </x:c>
      <x:c r="B67" s="147" t="str">
        <x:v>SCHHA011</x:v>
      </x:c>
      <x:c r="C67" s="147" t="str">
        <x:v>carbon</x:v>
      </x:c>
      <x:c r="D67" s="147" t="str">
        <x:v>bi-leaf</x:v>
      </x:c>
      <x:c r="E67" s="147" t="str">
        <x:v>Phát thải carbon</x:v>
      </x:c>
      <x:c r="F67" s="147" t="str">
        <x:v>Giảm ước tính 11.6 kg CO₂e</x:v>
      </x:c>
      <x:c r="G67" s="147" t="str">
        <x:v>Giá trị ước tính từ các hoạt động của tour 2 ngày 1 đêm.</x:v>
      </x:c>
      <x:c r="H67" s="165" t="n">
        <x:v>6</x:v>
      </x:c>
    </x:row>
    <x:row r="68">
      <x:c r="A68" s="161" t="str">
        <x:v>FEAT-SCHHA012-01</x:v>
      </x:c>
      <x:c r="B68" s="147" t="str">
        <x:v>SCHHA012</x:v>
      </x:c>
      <x:c r="C68" s="147" t="str">
        <x:v>tour_style</x:v>
      </x:c>
      <x:c r="D68" s="147" t="str">
        <x:v>bi-compass</x:v>
      </x:c>
      <x:c r="E68" s="147" t="str">
        <x:v>Phong cách tour</x:v>
      </x:c>
      <x:c r="F68" s="147" t="str">
        <x:v>Gia đình / Eco Travel</x:v>
      </x:c>
      <x:c r="G68" s="147" t="str">
        <x:v>Trải nghiệm xanh phù hợp với gia đình, cặp đôi hoặc nhóm bạn.</x:v>
      </x:c>
      <x:c r="H68" s="165" t="n">
        <x:v>1</x:v>
      </x:c>
    </x:row>
    <x:row r="69">
      <x:c r="A69" s="161" t="str">
        <x:v>FEAT-SCHHA012-02</x:v>
      </x:c>
      <x:c r="B69" s="147" t="str">
        <x:v>SCHHA012</x:v>
      </x:c>
      <x:c r="C69" s="147" t="str">
        <x:v>service</x:v>
      </x:c>
      <x:c r="D69" s="147" t="str">
        <x:v>bi-list-check</x:v>
      </x:c>
      <x:c r="E69" s="147" t="str">
        <x:v>Dịch vụ</x:v>
      </x:c>
      <x:c r="F69" s="147" t="str">
        <x:v>Gói trọn tiêu chuẩn</x:v>
      </x:c>
      <x:c r="G69" s="147" t="str">
        <x:v>Bao gồm các dịch vụ chính được nêu trong lịch trình.</x:v>
      </x:c>
      <x:c r="H69" s="165" t="n">
        <x:v>2</x:v>
      </x:c>
    </x:row>
    <x:row r="70">
      <x:c r="A70" s="161" t="str">
        <x:v>FEAT-SCHHA012-03</x:v>
      </x:c>
      <x:c r="B70" s="147" t="str">
        <x:v>SCHHA012</x:v>
      </x:c>
      <x:c r="C70" s="147" t="str">
        <x:v>guide</x:v>
      </x:c>
      <x:c r="D70" s="147" t="str">
        <x:v>bi-person-badge</x:v>
      </x:c>
      <x:c r="E70" s="147" t="str">
        <x:v>Hướng dẫn viên</x:v>
      </x:c>
      <x:c r="F70" s="147" t="str">
        <x:v>Toàn thời gian</x:v>
      </x:c>
      <x:c r="G70" s="147" t="str">
        <x:v>Đồng hành, hỗ trợ và điều phối trong suốt hành trình.</x:v>
      </x:c>
      <x:c r="H70" s="165" t="n">
        <x:v>3</x:v>
      </x:c>
    </x:row>
    <x:row r="71">
      <x:c r="A71" s="161" t="str">
        <x:v>FEAT-SCHHA012-04</x:v>
      </x:c>
      <x:c r="B71" s="147" t="str">
        <x:v>SCHHA012</x:v>
      </x:c>
      <x:c r="C71" s="147" t="str">
        <x:v>difficulty</x:v>
      </x:c>
      <x:c r="D71" s="147" t="str">
        <x:v>bi-activity</x:v>
      </x:c>
      <x:c r="E71" s="147" t="str">
        <x:v>Mức độ vận động</x:v>
      </x:c>
      <x:c r="F71" s="147" t="str">
        <x:v>Trung bình</x:v>
      </x:c>
      <x:c r="G71" s="147" t="str">
        <x:v>Cường độ được thiết kế phù hợp với nhịp độ chung của tour.</x:v>
      </x:c>
      <x:c r="H71" s="165" t="n">
        <x:v>4</x:v>
      </x:c>
    </x:row>
    <x:row r="72">
      <x:c r="A72" s="161" t="str">
        <x:v>FEAT-SCHHA012-05</x:v>
      </x:c>
      <x:c r="B72" s="147" t="str">
        <x:v>SCHHA012</x:v>
      </x:c>
      <x:c r="C72" s="147" t="str">
        <x:v>group</x:v>
      </x:c>
      <x:c r="D72" s="147" t="str">
        <x:v>bi-people</x:v>
      </x:c>
      <x:c r="E72" s="147" t="str">
        <x:v>Nhóm khách</x:v>
      </x:c>
      <x:c r="F72" s="147" t="str">
        <x:v>Nhóm nhỏ 1–10 khách</x:v>
      </x:c>
      <x:c r="G72" s="147" t="str">
        <x:v>Ưu tiên trải nghiệm gần gũi và hạn chế quá tải điểm đến.</x:v>
      </x:c>
      <x:c r="H72" s="165" t="n">
        <x:v>5</x:v>
      </x:c>
    </x:row>
    <x:row r="73">
      <x:c r="A73" s="166" t="str">
        <x:v>FEAT-SCHHA012-06</x:v>
      </x:c>
      <x:c r="B73" s="167" t="str">
        <x:v>SCHHA012</x:v>
      </x:c>
      <x:c r="C73" s="167" t="str">
        <x:v>carbon</x:v>
      </x:c>
      <x:c r="D73" s="167" t="str">
        <x:v>bi-leaf</x:v>
      </x:c>
      <x:c r="E73" s="167" t="str">
        <x:v>Phát thải carbon</x:v>
      </x:c>
      <x:c r="F73" s="167" t="str">
        <x:v>Giảm ước tính 13.5 kg CO₂e</x:v>
      </x:c>
      <x:c r="G73" s="167" t="str">
        <x:v>Giá trị ước tính từ các hoạt động của tour 3 ngày 2 đêm.</x:v>
      </x:c>
      <x:c r="H73" s="171" t="n">
        <x:v>6</x:v>
      </x:c>
    </x:row>
  </x:sheetData>
  <x:pageMargins left="0.7" right="0.7" top="0.75" bottom="0.75" header="0.3" footer="0.3"/>
  <x:tableParts count="1">
    <x:tablePart xmlns:r="http://schemas.openxmlformats.org/officeDocument/2006/relationships" r:id="R214ee29a67004d8f"/>
  </x:tableParts>
</x:worksheet>
</file>

<file path=xl/worksheets/sheet23.xml><?xml version="1.0" encoding="utf-8"?>
<x:worksheet xmlns:x="http://schemas.openxmlformats.org/spreadsheetml/2006/main">
  <x:sheetFormatPr defaultRowHeight="15"/>
  <x:cols>
    <x:col min="1" max="1" width="20" hidden="0" customWidth="1"/>
    <x:col min="2" max="2" width="14" hidden="0" customWidth="1"/>
    <x:col min="3" max="3" width="62" hidden="0" customWidth="1"/>
    <x:col min="4" max="4" width="18" hidden="0" customWidth="1"/>
    <x:col min="5" max="5" width="11" hidden="0" customWidth="1"/>
  </x:cols>
  <x:sheetData>
    <x:row r="1" ht="32" customHeight="1">
      <x:c r="A1" s="158" t="str">
        <x:v>ID_Highlight</x:v>
      </x:c>
      <x:c r="B1" s="159" t="str">
        <x:v>ID_Schedule</x:v>
      </x:c>
      <x:c r="C1" s="159" t="str">
        <x:v>content</x:v>
      </x:c>
      <x:c r="D1" s="159" t="str">
        <x:v>icon</x:v>
      </x:c>
      <x:c r="E1" s="160" t="str">
        <x:v>sort_order</x:v>
      </x:c>
    </x:row>
    <x:row r="2">
      <x:c r="A2" s="161" t="str">
        <x:v>HIL-SCHPY001-01</x:v>
      </x:c>
      <x:c r="B2" s="147" t="str">
        <x:v>SCHPY001</x:v>
      </x:c>
      <x:c r="C2" s="147" t="str">
        <x:v>Khám phá các điểm đến tiêu biểu của Phú Yên trong lịch trình 2 ngày.</x:v>
      </x:c>
      <x:c r="D2" s="147" t="str">
        <x:v>bi-check-circle</x:v>
      </x:c>
      <x:c r="E2" s="165" t="n">
        <x:v>1</x:v>
      </x:c>
    </x:row>
    <x:row r="3">
      <x:c r="A3" s="161" t="str">
        <x:v>HIL-SCHPY001-02</x:v>
      </x:c>
      <x:c r="B3" s="147" t="str">
        <x:v>SCHPY001</x:v>
      </x:c>
      <x:c r="C3" s="147" t="str">
        <x:v>Ưu tiên nhóm nhỏ, nhịp độ hợp lý và thời gian nghỉ giữa các hoạt động.</x:v>
      </x:c>
      <x:c r="D3" s="147" t="str">
        <x:v>bi-check-circle</x:v>
      </x:c>
      <x:c r="E3" s="165" t="n">
        <x:v>2</x:v>
      </x:c>
    </x:row>
    <x:row r="4">
      <x:c r="A4" s="161" t="str">
        <x:v>HIL-SCHPY001-03</x:v>
      </x:c>
      <x:c r="B4" s="147" t="str">
        <x:v>SCHPY001</x:v>
      </x:c>
      <x:c r="C4" s="147" t="str">
        <x:v>Kết hợp văn hóa, ẩm thực địa phương và trải nghiệm thiên nhiên.</x:v>
      </x:c>
      <x:c r="D4" s="147" t="str">
        <x:v>bi-check-circle</x:v>
      </x:c>
      <x:c r="E4" s="165" t="n">
        <x:v>3</x:v>
      </x:c>
    </x:row>
    <x:row r="5">
      <x:c r="A5" s="161" t="str">
        <x:v>HIL-SCHPY001-04</x:v>
      </x:c>
      <x:c r="B5" s="147" t="str">
        <x:v>SCHPY001</x:v>
      </x:c>
      <x:c r="C5" s="147" t="str">
        <x:v>Theo dõi lượng CO₂e giảm ước tính ở cấp độ từng hoạt động.</x:v>
      </x:c>
      <x:c r="D5" s="147" t="str">
        <x:v>bi-check-circle</x:v>
      </x:c>
      <x:c r="E5" s="165" t="n">
        <x:v>4</x:v>
      </x:c>
    </x:row>
    <x:row r="6">
      <x:c r="A6" s="161" t="str">
        <x:v>HIL-SCHPY002-01</x:v>
      </x:c>
      <x:c r="B6" s="147" t="str">
        <x:v>SCHPY002</x:v>
      </x:c>
      <x:c r="C6" s="147" t="str">
        <x:v>Khám phá các điểm đến tiêu biểu của Phú Yên trong lịch trình 2 ngày.</x:v>
      </x:c>
      <x:c r="D6" s="147" t="str">
        <x:v>bi-check-circle</x:v>
      </x:c>
      <x:c r="E6" s="165" t="n">
        <x:v>1</x:v>
      </x:c>
    </x:row>
    <x:row r="7">
      <x:c r="A7" s="161" t="str">
        <x:v>HIL-SCHPY002-02</x:v>
      </x:c>
      <x:c r="B7" s="147" t="str">
        <x:v>SCHPY002</x:v>
      </x:c>
      <x:c r="C7" s="147" t="str">
        <x:v>Ưu tiên nhóm nhỏ, nhịp độ hợp lý và thời gian nghỉ giữa các hoạt động.</x:v>
      </x:c>
      <x:c r="D7" s="147" t="str">
        <x:v>bi-check-circle</x:v>
      </x:c>
      <x:c r="E7" s="165" t="n">
        <x:v>2</x:v>
      </x:c>
    </x:row>
    <x:row r="8">
      <x:c r="A8" s="161" t="str">
        <x:v>HIL-SCHPY002-03</x:v>
      </x:c>
      <x:c r="B8" s="147" t="str">
        <x:v>SCHPY002</x:v>
      </x:c>
      <x:c r="C8" s="147" t="str">
        <x:v>Kết hợp văn hóa, ẩm thực địa phương và trải nghiệm thiên nhiên.</x:v>
      </x:c>
      <x:c r="D8" s="147" t="str">
        <x:v>bi-check-circle</x:v>
      </x:c>
      <x:c r="E8" s="165" t="n">
        <x:v>3</x:v>
      </x:c>
    </x:row>
    <x:row r="9">
      <x:c r="A9" s="161" t="str">
        <x:v>HIL-SCHPY002-04</x:v>
      </x:c>
      <x:c r="B9" s="147" t="str">
        <x:v>SCHPY002</x:v>
      </x:c>
      <x:c r="C9" s="147" t="str">
        <x:v>Theo dõi lượng CO₂e giảm ước tính ở cấp độ từng hoạt động.</x:v>
      </x:c>
      <x:c r="D9" s="147" t="str">
        <x:v>bi-check-circle</x:v>
      </x:c>
      <x:c r="E9" s="165" t="n">
        <x:v>4</x:v>
      </x:c>
    </x:row>
    <x:row r="10">
      <x:c r="A10" s="161" t="str">
        <x:v>HIL-SCHPY003-01</x:v>
      </x:c>
      <x:c r="B10" s="147" t="str">
        <x:v>SCHPY003</x:v>
      </x:c>
      <x:c r="C10" s="147" t="str">
        <x:v>Khám phá các điểm đến tiêu biểu của Phú Yên trong lịch trình 1 ngày.</x:v>
      </x:c>
      <x:c r="D10" s="147" t="str">
        <x:v>bi-check-circle</x:v>
      </x:c>
      <x:c r="E10" s="165" t="n">
        <x:v>1</x:v>
      </x:c>
    </x:row>
    <x:row r="11">
      <x:c r="A11" s="161" t="str">
        <x:v>HIL-SCHPY003-02</x:v>
      </x:c>
      <x:c r="B11" s="147" t="str">
        <x:v>SCHPY003</x:v>
      </x:c>
      <x:c r="C11" s="147" t="str">
        <x:v>Ưu tiên nhóm nhỏ, nhịp độ hợp lý và thời gian nghỉ giữa các hoạt động.</x:v>
      </x:c>
      <x:c r="D11" s="147" t="str">
        <x:v>bi-check-circle</x:v>
      </x:c>
      <x:c r="E11" s="165" t="n">
        <x:v>2</x:v>
      </x:c>
    </x:row>
    <x:row r="12">
      <x:c r="A12" s="161" t="str">
        <x:v>HIL-SCHPY003-03</x:v>
      </x:c>
      <x:c r="B12" s="147" t="str">
        <x:v>SCHPY003</x:v>
      </x:c>
      <x:c r="C12" s="147" t="str">
        <x:v>Kết hợp văn hóa, ẩm thực địa phương và trải nghiệm thiên nhiên.</x:v>
      </x:c>
      <x:c r="D12" s="147" t="str">
        <x:v>bi-check-circle</x:v>
      </x:c>
      <x:c r="E12" s="165" t="n">
        <x:v>3</x:v>
      </x:c>
    </x:row>
    <x:row r="13">
      <x:c r="A13" s="161" t="str">
        <x:v>HIL-SCHPY003-04</x:v>
      </x:c>
      <x:c r="B13" s="147" t="str">
        <x:v>SCHPY003</x:v>
      </x:c>
      <x:c r="C13" s="147" t="str">
        <x:v>Theo dõi lượng CO₂e giảm ước tính ở cấp độ từng hoạt động.</x:v>
      </x:c>
      <x:c r="D13" s="147" t="str">
        <x:v>bi-check-circle</x:v>
      </x:c>
      <x:c r="E13" s="165" t="n">
        <x:v>4</x:v>
      </x:c>
    </x:row>
    <x:row r="14">
      <x:c r="A14" s="161" t="str">
        <x:v>HIL-SCHPY004-01</x:v>
      </x:c>
      <x:c r="B14" s="147" t="str">
        <x:v>SCHPY004</x:v>
      </x:c>
      <x:c r="C14" s="147" t="str">
        <x:v>Khám phá các điểm đến tiêu biểu của Phú Yên trong lịch trình 3 ngày.</x:v>
      </x:c>
      <x:c r="D14" s="147" t="str">
        <x:v>bi-check-circle</x:v>
      </x:c>
      <x:c r="E14" s="165" t="n">
        <x:v>1</x:v>
      </x:c>
    </x:row>
    <x:row r="15">
      <x:c r="A15" s="161" t="str">
        <x:v>HIL-SCHPY004-02</x:v>
      </x:c>
      <x:c r="B15" s="147" t="str">
        <x:v>SCHPY004</x:v>
      </x:c>
      <x:c r="C15" s="147" t="str">
        <x:v>Ưu tiên nhóm nhỏ, nhịp độ hợp lý và thời gian nghỉ giữa các hoạt động.</x:v>
      </x:c>
      <x:c r="D15" s="147" t="str">
        <x:v>bi-check-circle</x:v>
      </x:c>
      <x:c r="E15" s="165" t="n">
        <x:v>2</x:v>
      </x:c>
    </x:row>
    <x:row r="16">
      <x:c r="A16" s="161" t="str">
        <x:v>HIL-SCHPY004-03</x:v>
      </x:c>
      <x:c r="B16" s="147" t="str">
        <x:v>SCHPY004</x:v>
      </x:c>
      <x:c r="C16" s="147" t="str">
        <x:v>Kết hợp văn hóa, ẩm thực địa phương và trải nghiệm thiên nhiên.</x:v>
      </x:c>
      <x:c r="D16" s="147" t="str">
        <x:v>bi-check-circle</x:v>
      </x:c>
      <x:c r="E16" s="165" t="n">
        <x:v>3</x:v>
      </x:c>
    </x:row>
    <x:row r="17">
      <x:c r="A17" s="161" t="str">
        <x:v>HIL-SCHPY004-04</x:v>
      </x:c>
      <x:c r="B17" s="147" t="str">
        <x:v>SCHPY004</x:v>
      </x:c>
      <x:c r="C17" s="147" t="str">
        <x:v>Theo dõi lượng CO₂e giảm ước tính ở cấp độ từng hoạt động.</x:v>
      </x:c>
      <x:c r="D17" s="147" t="str">
        <x:v>bi-check-circle</x:v>
      </x:c>
      <x:c r="E17" s="165" t="n">
        <x:v>4</x:v>
      </x:c>
    </x:row>
    <x:row r="18">
      <x:c r="A18" s="161" t="str">
        <x:v>HIL-SCHDL005-01</x:v>
      </x:c>
      <x:c r="B18" s="147" t="str">
        <x:v>SCHDL005</x:v>
      </x:c>
      <x:c r="C18" s="147" t="str">
        <x:v>Khám phá các điểm đến tiêu biểu của Đà Lạt trong lịch trình 1 ngày.</x:v>
      </x:c>
      <x:c r="D18" s="147" t="str">
        <x:v>bi-check-circle</x:v>
      </x:c>
      <x:c r="E18" s="165" t="n">
        <x:v>1</x:v>
      </x:c>
    </x:row>
    <x:row r="19">
      <x:c r="A19" s="161" t="str">
        <x:v>HIL-SCHDL005-02</x:v>
      </x:c>
      <x:c r="B19" s="147" t="str">
        <x:v>SCHDL005</x:v>
      </x:c>
      <x:c r="C19" s="147" t="str">
        <x:v>Ưu tiên nhóm nhỏ, nhịp độ hợp lý và thời gian nghỉ giữa các hoạt động.</x:v>
      </x:c>
      <x:c r="D19" s="147" t="str">
        <x:v>bi-check-circle</x:v>
      </x:c>
      <x:c r="E19" s="165" t="n">
        <x:v>2</x:v>
      </x:c>
    </x:row>
    <x:row r="20">
      <x:c r="A20" s="161" t="str">
        <x:v>HIL-SCHDL005-03</x:v>
      </x:c>
      <x:c r="B20" s="147" t="str">
        <x:v>SCHDL005</x:v>
      </x:c>
      <x:c r="C20" s="147" t="str">
        <x:v>Kết hợp văn hóa, ẩm thực địa phương và trải nghiệm thiên nhiên.</x:v>
      </x:c>
      <x:c r="D20" s="147" t="str">
        <x:v>bi-check-circle</x:v>
      </x:c>
      <x:c r="E20" s="165" t="n">
        <x:v>3</x:v>
      </x:c>
    </x:row>
    <x:row r="21">
      <x:c r="A21" s="161" t="str">
        <x:v>HIL-SCHDL005-04</x:v>
      </x:c>
      <x:c r="B21" s="147" t="str">
        <x:v>SCHDL005</x:v>
      </x:c>
      <x:c r="C21" s="147" t="str">
        <x:v>Theo dõi lượng CO₂e giảm ước tính ở cấp độ từng hoạt động.</x:v>
      </x:c>
      <x:c r="D21" s="147" t="str">
        <x:v>bi-check-circle</x:v>
      </x:c>
      <x:c r="E21" s="165" t="n">
        <x:v>4</x:v>
      </x:c>
    </x:row>
    <x:row r="22">
      <x:c r="A22" s="161" t="str">
        <x:v>HIL-SCHDL006-01</x:v>
      </x:c>
      <x:c r="B22" s="147" t="str">
        <x:v>SCHDL006</x:v>
      </x:c>
      <x:c r="C22" s="147" t="str">
        <x:v>Khám phá các điểm đến tiêu biểu của Đà Lạt trong lịch trình 2 ngày.</x:v>
      </x:c>
      <x:c r="D22" s="147" t="str">
        <x:v>bi-check-circle</x:v>
      </x:c>
      <x:c r="E22" s="165" t="n">
        <x:v>1</x:v>
      </x:c>
    </x:row>
    <x:row r="23">
      <x:c r="A23" s="161" t="str">
        <x:v>HIL-SCHDL006-02</x:v>
      </x:c>
      <x:c r="B23" s="147" t="str">
        <x:v>SCHDL006</x:v>
      </x:c>
      <x:c r="C23" s="147" t="str">
        <x:v>Ưu tiên nhóm nhỏ, nhịp độ hợp lý và thời gian nghỉ giữa các hoạt động.</x:v>
      </x:c>
      <x:c r="D23" s="147" t="str">
        <x:v>bi-check-circle</x:v>
      </x:c>
      <x:c r="E23" s="165" t="n">
        <x:v>2</x:v>
      </x:c>
    </x:row>
    <x:row r="24">
      <x:c r="A24" s="161" t="str">
        <x:v>HIL-SCHDL006-03</x:v>
      </x:c>
      <x:c r="B24" s="147" t="str">
        <x:v>SCHDL006</x:v>
      </x:c>
      <x:c r="C24" s="147" t="str">
        <x:v>Kết hợp văn hóa, ẩm thực địa phương và trải nghiệm thiên nhiên.</x:v>
      </x:c>
      <x:c r="D24" s="147" t="str">
        <x:v>bi-check-circle</x:v>
      </x:c>
      <x:c r="E24" s="165" t="n">
        <x:v>3</x:v>
      </x:c>
    </x:row>
    <x:row r="25">
      <x:c r="A25" s="161" t="str">
        <x:v>HIL-SCHDL006-04</x:v>
      </x:c>
      <x:c r="B25" s="147" t="str">
        <x:v>SCHDL006</x:v>
      </x:c>
      <x:c r="C25" s="147" t="str">
        <x:v>Theo dõi lượng CO₂e giảm ước tính ở cấp độ từng hoạt động.</x:v>
      </x:c>
      <x:c r="D25" s="147" t="str">
        <x:v>bi-check-circle</x:v>
      </x:c>
      <x:c r="E25" s="165" t="n">
        <x:v>4</x:v>
      </x:c>
    </x:row>
    <x:row r="26">
      <x:c r="A26" s="161" t="str">
        <x:v>HIL-SCHDL007-01</x:v>
      </x:c>
      <x:c r="B26" s="147" t="str">
        <x:v>SCHDL007</x:v>
      </x:c>
      <x:c r="C26" s="147" t="str">
        <x:v>Khám phá các điểm đến tiêu biểu của Đà Lạt trong lịch trình 2 ngày.</x:v>
      </x:c>
      <x:c r="D26" s="147" t="str">
        <x:v>bi-check-circle</x:v>
      </x:c>
      <x:c r="E26" s="165" t="n">
        <x:v>1</x:v>
      </x:c>
    </x:row>
    <x:row r="27">
      <x:c r="A27" s="161" t="str">
        <x:v>HIL-SCHDL007-02</x:v>
      </x:c>
      <x:c r="B27" s="147" t="str">
        <x:v>SCHDL007</x:v>
      </x:c>
      <x:c r="C27" s="147" t="str">
        <x:v>Ưu tiên nhóm nhỏ, nhịp độ hợp lý và thời gian nghỉ giữa các hoạt động.</x:v>
      </x:c>
      <x:c r="D27" s="147" t="str">
        <x:v>bi-check-circle</x:v>
      </x:c>
      <x:c r="E27" s="165" t="n">
        <x:v>2</x:v>
      </x:c>
    </x:row>
    <x:row r="28">
      <x:c r="A28" s="161" t="str">
        <x:v>HIL-SCHDL007-03</x:v>
      </x:c>
      <x:c r="B28" s="147" t="str">
        <x:v>SCHDL007</x:v>
      </x:c>
      <x:c r="C28" s="147" t="str">
        <x:v>Kết hợp văn hóa, ẩm thực địa phương và trải nghiệm thiên nhiên.</x:v>
      </x:c>
      <x:c r="D28" s="147" t="str">
        <x:v>bi-check-circle</x:v>
      </x:c>
      <x:c r="E28" s="165" t="n">
        <x:v>3</x:v>
      </x:c>
    </x:row>
    <x:row r="29">
      <x:c r="A29" s="161" t="str">
        <x:v>HIL-SCHDL007-04</x:v>
      </x:c>
      <x:c r="B29" s="147" t="str">
        <x:v>SCHDL007</x:v>
      </x:c>
      <x:c r="C29" s="147" t="str">
        <x:v>Theo dõi lượng CO₂e giảm ước tính ở cấp độ từng hoạt động.</x:v>
      </x:c>
      <x:c r="D29" s="147" t="str">
        <x:v>bi-check-circle</x:v>
      </x:c>
      <x:c r="E29" s="165" t="n">
        <x:v>4</x:v>
      </x:c>
    </x:row>
    <x:row r="30">
      <x:c r="A30" s="161" t="str">
        <x:v>HIL-SCHDL008-01</x:v>
      </x:c>
      <x:c r="B30" s="147" t="str">
        <x:v>SCHDL008</x:v>
      </x:c>
      <x:c r="C30" s="147" t="str">
        <x:v>Khám phá các điểm đến tiêu biểu của Đà Lạt trong lịch trình 2 ngày.</x:v>
      </x:c>
      <x:c r="D30" s="147" t="str">
        <x:v>bi-check-circle</x:v>
      </x:c>
      <x:c r="E30" s="165" t="n">
        <x:v>1</x:v>
      </x:c>
    </x:row>
    <x:row r="31">
      <x:c r="A31" s="161" t="str">
        <x:v>HIL-SCHDL008-02</x:v>
      </x:c>
      <x:c r="B31" s="147" t="str">
        <x:v>SCHDL008</x:v>
      </x:c>
      <x:c r="C31" s="147" t="str">
        <x:v>Ưu tiên nhóm nhỏ, nhịp độ hợp lý và thời gian nghỉ giữa các hoạt động.</x:v>
      </x:c>
      <x:c r="D31" s="147" t="str">
        <x:v>bi-check-circle</x:v>
      </x:c>
      <x:c r="E31" s="165" t="n">
        <x:v>2</x:v>
      </x:c>
    </x:row>
    <x:row r="32">
      <x:c r="A32" s="161" t="str">
        <x:v>HIL-SCHDL008-03</x:v>
      </x:c>
      <x:c r="B32" s="147" t="str">
        <x:v>SCHDL008</x:v>
      </x:c>
      <x:c r="C32" s="147" t="str">
        <x:v>Kết hợp văn hóa, ẩm thực địa phương và trải nghiệm thiên nhiên.</x:v>
      </x:c>
      <x:c r="D32" s="147" t="str">
        <x:v>bi-check-circle</x:v>
      </x:c>
      <x:c r="E32" s="165" t="n">
        <x:v>3</x:v>
      </x:c>
    </x:row>
    <x:row r="33">
      <x:c r="A33" s="161" t="str">
        <x:v>HIL-SCHDL008-04</x:v>
      </x:c>
      <x:c r="B33" s="147" t="str">
        <x:v>SCHDL008</x:v>
      </x:c>
      <x:c r="C33" s="147" t="str">
        <x:v>Theo dõi lượng CO₂e giảm ước tính ở cấp độ từng hoạt động.</x:v>
      </x:c>
      <x:c r="D33" s="147" t="str">
        <x:v>bi-check-circle</x:v>
      </x:c>
      <x:c r="E33" s="165" t="n">
        <x:v>4</x:v>
      </x:c>
    </x:row>
    <x:row r="34">
      <x:c r="A34" s="161" t="str">
        <x:v>HIL-SCHDN009-01</x:v>
      </x:c>
      <x:c r="B34" s="147" t="str">
        <x:v>SCHDN009</x:v>
      </x:c>
      <x:c r="C34" s="147" t="str">
        <x:v>Khám phá các điểm đến tiêu biểu của Đà Nẵng - Hội An trong lịch trình 2 ngày.</x:v>
      </x:c>
      <x:c r="D34" s="147" t="str">
        <x:v>bi-check-circle</x:v>
      </x:c>
      <x:c r="E34" s="165" t="n">
        <x:v>1</x:v>
      </x:c>
    </x:row>
    <x:row r="35">
      <x:c r="A35" s="161" t="str">
        <x:v>HIL-SCHDN009-02</x:v>
      </x:c>
      <x:c r="B35" s="147" t="str">
        <x:v>SCHDN009</x:v>
      </x:c>
      <x:c r="C35" s="147" t="str">
        <x:v>Ưu tiên nhóm nhỏ, nhịp độ hợp lý và thời gian nghỉ giữa các hoạt động.</x:v>
      </x:c>
      <x:c r="D35" s="147" t="str">
        <x:v>bi-check-circle</x:v>
      </x:c>
      <x:c r="E35" s="165" t="n">
        <x:v>2</x:v>
      </x:c>
    </x:row>
    <x:row r="36">
      <x:c r="A36" s="161" t="str">
        <x:v>HIL-SCHDN009-03</x:v>
      </x:c>
      <x:c r="B36" s="147" t="str">
        <x:v>SCHDN009</x:v>
      </x:c>
      <x:c r="C36" s="147" t="str">
        <x:v>Kết hợp văn hóa, ẩm thực địa phương và trải nghiệm thiên nhiên.</x:v>
      </x:c>
      <x:c r="D36" s="147" t="str">
        <x:v>bi-check-circle</x:v>
      </x:c>
      <x:c r="E36" s="165" t="n">
        <x:v>3</x:v>
      </x:c>
    </x:row>
    <x:row r="37">
      <x:c r="A37" s="161" t="str">
        <x:v>HIL-SCHDN009-04</x:v>
      </x:c>
      <x:c r="B37" s="147" t="str">
        <x:v>SCHDN009</x:v>
      </x:c>
      <x:c r="C37" s="147" t="str">
        <x:v>Theo dõi lượng CO₂e giảm ước tính ở cấp độ từng hoạt động.</x:v>
      </x:c>
      <x:c r="D37" s="147" t="str">
        <x:v>bi-check-circle</x:v>
      </x:c>
      <x:c r="E37" s="165" t="n">
        <x:v>4</x:v>
      </x:c>
    </x:row>
    <x:row r="38">
      <x:c r="A38" s="161" t="str">
        <x:v>HIL-SCHDN010-01</x:v>
      </x:c>
      <x:c r="B38" s="147" t="str">
        <x:v>SCHDN010</x:v>
      </x:c>
      <x:c r="C38" s="147" t="str">
        <x:v>Khám phá các điểm đến tiêu biểu của Đà Nẵng - Hội An trong lịch trình 1 ngày.</x:v>
      </x:c>
      <x:c r="D38" s="147" t="str">
        <x:v>bi-check-circle</x:v>
      </x:c>
      <x:c r="E38" s="165" t="n">
        <x:v>1</x:v>
      </x:c>
    </x:row>
    <x:row r="39">
      <x:c r="A39" s="161" t="str">
        <x:v>HIL-SCHDN010-02</x:v>
      </x:c>
      <x:c r="B39" s="147" t="str">
        <x:v>SCHDN010</x:v>
      </x:c>
      <x:c r="C39" s="147" t="str">
        <x:v>Ưu tiên nhóm nhỏ, nhịp độ hợp lý và thời gian nghỉ giữa các hoạt động.</x:v>
      </x:c>
      <x:c r="D39" s="147" t="str">
        <x:v>bi-check-circle</x:v>
      </x:c>
      <x:c r="E39" s="165" t="n">
        <x:v>2</x:v>
      </x:c>
    </x:row>
    <x:row r="40">
      <x:c r="A40" s="161" t="str">
        <x:v>HIL-SCHDN010-03</x:v>
      </x:c>
      <x:c r="B40" s="147" t="str">
        <x:v>SCHDN010</x:v>
      </x:c>
      <x:c r="C40" s="147" t="str">
        <x:v>Kết hợp văn hóa, ẩm thực địa phương và trải nghiệm thiên nhiên.</x:v>
      </x:c>
      <x:c r="D40" s="147" t="str">
        <x:v>bi-check-circle</x:v>
      </x:c>
      <x:c r="E40" s="165" t="n">
        <x:v>3</x:v>
      </x:c>
    </x:row>
    <x:row r="41">
      <x:c r="A41" s="161" t="str">
        <x:v>HIL-SCHDN010-04</x:v>
      </x:c>
      <x:c r="B41" s="147" t="str">
        <x:v>SCHDN010</x:v>
      </x:c>
      <x:c r="C41" s="147" t="str">
        <x:v>Theo dõi lượng CO₂e giảm ước tính ở cấp độ từng hoạt động.</x:v>
      </x:c>
      <x:c r="D41" s="147" t="str">
        <x:v>bi-check-circle</x:v>
      </x:c>
      <x:c r="E41" s="165" t="n">
        <x:v>4</x:v>
      </x:c>
    </x:row>
    <x:row r="42">
      <x:c r="A42" s="161" t="str">
        <x:v>HIL-SCHHA011-01</x:v>
      </x:c>
      <x:c r="B42" s="147" t="str">
        <x:v>SCHHA011</x:v>
      </x:c>
      <x:c r="C42" s="147" t="str">
        <x:v>Khám phá các điểm đến tiêu biểu của Đà Nẵng - Hội An trong lịch trình 2 ngày.</x:v>
      </x:c>
      <x:c r="D42" s="147" t="str">
        <x:v>bi-check-circle</x:v>
      </x:c>
      <x:c r="E42" s="165" t="n">
        <x:v>1</x:v>
      </x:c>
    </x:row>
    <x:row r="43">
      <x:c r="A43" s="161" t="str">
        <x:v>HIL-SCHHA011-02</x:v>
      </x:c>
      <x:c r="B43" s="147" t="str">
        <x:v>SCHHA011</x:v>
      </x:c>
      <x:c r="C43" s="147" t="str">
        <x:v>Ưu tiên nhóm nhỏ, nhịp độ hợp lý và thời gian nghỉ giữa các hoạt động.</x:v>
      </x:c>
      <x:c r="D43" s="147" t="str">
        <x:v>bi-check-circle</x:v>
      </x:c>
      <x:c r="E43" s="165" t="n">
        <x:v>2</x:v>
      </x:c>
    </x:row>
    <x:row r="44">
      <x:c r="A44" s="161" t="str">
        <x:v>HIL-SCHHA011-03</x:v>
      </x:c>
      <x:c r="B44" s="147" t="str">
        <x:v>SCHHA011</x:v>
      </x:c>
      <x:c r="C44" s="147" t="str">
        <x:v>Kết hợp văn hóa, ẩm thực địa phương và trải nghiệm thiên nhiên.</x:v>
      </x:c>
      <x:c r="D44" s="147" t="str">
        <x:v>bi-check-circle</x:v>
      </x:c>
      <x:c r="E44" s="165" t="n">
        <x:v>3</x:v>
      </x:c>
    </x:row>
    <x:row r="45">
      <x:c r="A45" s="161" t="str">
        <x:v>HIL-SCHHA011-04</x:v>
      </x:c>
      <x:c r="B45" s="147" t="str">
        <x:v>SCHHA011</x:v>
      </x:c>
      <x:c r="C45" s="147" t="str">
        <x:v>Theo dõi lượng CO₂e giảm ước tính ở cấp độ từng hoạt động.</x:v>
      </x:c>
      <x:c r="D45" s="147" t="str">
        <x:v>bi-check-circle</x:v>
      </x:c>
      <x:c r="E45" s="165" t="n">
        <x:v>4</x:v>
      </x:c>
    </x:row>
    <x:row r="46">
      <x:c r="A46" s="161" t="str">
        <x:v>HIL-SCHHA012-01</x:v>
      </x:c>
      <x:c r="B46" s="147" t="str">
        <x:v>SCHHA012</x:v>
      </x:c>
      <x:c r="C46" s="147" t="str">
        <x:v>Khám phá các điểm đến tiêu biểu của Đà Nẵng - Hội An trong lịch trình 3 ngày.</x:v>
      </x:c>
      <x:c r="D46" s="147" t="str">
        <x:v>bi-check-circle</x:v>
      </x:c>
      <x:c r="E46" s="165" t="n">
        <x:v>1</x:v>
      </x:c>
    </x:row>
    <x:row r="47">
      <x:c r="A47" s="161" t="str">
        <x:v>HIL-SCHHA012-02</x:v>
      </x:c>
      <x:c r="B47" s="147" t="str">
        <x:v>SCHHA012</x:v>
      </x:c>
      <x:c r="C47" s="147" t="str">
        <x:v>Ưu tiên nhóm nhỏ, nhịp độ hợp lý và thời gian nghỉ giữa các hoạt động.</x:v>
      </x:c>
      <x:c r="D47" s="147" t="str">
        <x:v>bi-check-circle</x:v>
      </x:c>
      <x:c r="E47" s="165" t="n">
        <x:v>2</x:v>
      </x:c>
    </x:row>
    <x:row r="48">
      <x:c r="A48" s="161" t="str">
        <x:v>HIL-SCHHA012-03</x:v>
      </x:c>
      <x:c r="B48" s="147" t="str">
        <x:v>SCHHA012</x:v>
      </x:c>
      <x:c r="C48" s="147" t="str">
        <x:v>Kết hợp văn hóa, ẩm thực địa phương và trải nghiệm thiên nhiên.</x:v>
      </x:c>
      <x:c r="D48" s="147" t="str">
        <x:v>bi-check-circle</x:v>
      </x:c>
      <x:c r="E48" s="165" t="n">
        <x:v>3</x:v>
      </x:c>
    </x:row>
    <x:row r="49">
      <x:c r="A49" s="166" t="str">
        <x:v>HIL-SCHHA012-04</x:v>
      </x:c>
      <x:c r="B49" s="167" t="str">
        <x:v>SCHHA012</x:v>
      </x:c>
      <x:c r="C49" s="167" t="str">
        <x:v>Theo dõi lượng CO₂e giảm ước tính ở cấp độ từng hoạt động.</x:v>
      </x:c>
      <x:c r="D49" s="167" t="str">
        <x:v>bi-check-circle</x:v>
      </x:c>
      <x:c r="E49" s="171" t="n">
        <x:v>4</x:v>
      </x:c>
    </x:row>
  </x:sheetData>
  <x:pageMargins left="0.7" right="0.7" top="0.75" bottom="0.75" header="0.3" footer="0.3"/>
  <x:tableParts count="1">
    <x:tablePart xmlns:r="http://schemas.openxmlformats.org/officeDocument/2006/relationships" r:id="Rca93823aac0b4727"/>
  </x:tableParts>
</x:worksheet>
</file>

<file path=xl/worksheets/sheet24.xml><?xml version="1.0" encoding="utf-8"?>
<x:worksheet xmlns:x="http://schemas.openxmlformats.org/spreadsheetml/2006/main">
  <x:sheetFormatPr defaultRowHeight="15"/>
  <x:cols>
    <x:col min="1" max="1" width="20" hidden="0" customWidth="1"/>
    <x:col min="2" max="2" width="14" hidden="0" customWidth="1"/>
    <x:col min="3" max="3" width="16" hidden="0" customWidth="1"/>
    <x:col min="4" max="4" width="64" hidden="0" customWidth="1"/>
    <x:col min="5" max="5" width="18" hidden="0" customWidth="1"/>
    <x:col min="6" max="6" width="11" hidden="0" customWidth="1"/>
  </x:cols>
  <x:sheetData>
    <x:row r="1" ht="32" customHeight="1">
      <x:c r="A1" s="158" t="str">
        <x:v>ID_Inclusion</x:v>
      </x:c>
      <x:c r="B1" s="159" t="str">
        <x:v>ID_Schedule</x:v>
      </x:c>
      <x:c r="C1" s="159" t="str">
        <x:v>inclusion_type</x:v>
      </x:c>
      <x:c r="D1" s="159" t="str">
        <x:v>content</x:v>
      </x:c>
      <x:c r="E1" s="159" t="str">
        <x:v>icon</x:v>
      </x:c>
      <x:c r="F1" s="160" t="str">
        <x:v>sort_order</x:v>
      </x:c>
    </x:row>
    <x:row r="2">
      <x:c r="A2" s="161" t="str">
        <x:v>INC-SCHPY001-01</x:v>
      </x:c>
      <x:c r="B2" s="147" t="str">
        <x:v>SCHPY001</x:v>
      </x:c>
      <x:c r="C2" s="147" t="str">
        <x:v>included</x:v>
      </x:c>
      <x:c r="D2" s="147" t="str">
        <x:v>Phương tiện di chuyển theo lịch trình.</x:v>
      </x:c>
      <x:c r="E2" s="147" t="str">
        <x:v>bi-check-circle</x:v>
      </x:c>
      <x:c r="F2" s="165" t="n">
        <x:v>1</x:v>
      </x:c>
    </x:row>
    <x:row r="3">
      <x:c r="A3" s="161" t="str">
        <x:v>INC-SCHPY001-02</x:v>
      </x:c>
      <x:c r="B3" s="147" t="str">
        <x:v>SCHPY001</x:v>
      </x:c>
      <x:c r="C3" s="147" t="str">
        <x:v>included</x:v>
      </x:c>
      <x:c r="D3" s="147" t="str">
        <x:v>Hướng dẫn viên đồng hành theo chương trình.</x:v>
      </x:c>
      <x:c r="E3" s="147" t="str">
        <x:v>bi-check-circle</x:v>
      </x:c>
      <x:c r="F3" s="165" t="n">
        <x:v>2</x:v>
      </x:c>
    </x:row>
    <x:row r="4">
      <x:c r="A4" s="161" t="str">
        <x:v>INC-SCHPY001-03</x:v>
      </x:c>
      <x:c r="B4" s="147" t="str">
        <x:v>SCHPY001</x:v>
      </x:c>
      <x:c r="C4" s="147" t="str">
        <x:v>included</x:v>
      </x:c>
      <x:c r="D4" s="147" t="str">
        <x:v>Vé tham quan và hoạt động được ghi rõ trong lịch trình.</x:v>
      </x:c>
      <x:c r="E4" s="147" t="str">
        <x:v>bi-check-circle</x:v>
      </x:c>
      <x:c r="F4" s="165" t="n">
        <x:v>3</x:v>
      </x:c>
    </x:row>
    <x:row r="5">
      <x:c r="A5" s="161" t="str">
        <x:v>INC-SCHPY001-04</x:v>
      </x:c>
      <x:c r="B5" s="147" t="str">
        <x:v>SCHPY001</x:v>
      </x:c>
      <x:c r="C5" s="147" t="str">
        <x:v>included</x:v>
      </x:c>
      <x:c r="D5" s="147" t="str">
        <x:v>Các bữa ăn được ghi trong chương trình tour.</x:v>
      </x:c>
      <x:c r="E5" s="147" t="str">
        <x:v>bi-check-circle</x:v>
      </x:c>
      <x:c r="F5" s="165" t="n">
        <x:v>4</x:v>
      </x:c>
    </x:row>
    <x:row r="6">
      <x:c r="A6" s="161" t="str">
        <x:v>INC-SCHPY001-05</x:v>
      </x:c>
      <x:c r="B6" s="147" t="str">
        <x:v>SCHPY001</x:v>
      </x:c>
      <x:c r="C6" s="147" t="str">
        <x:v>included</x:v>
      </x:c>
      <x:c r="D6" s="147" t="str">
        <x:v>Nước uống refill và hỗ trợ cơ bản trong chuyến đi.</x:v>
      </x:c>
      <x:c r="E6" s="147" t="str">
        <x:v>bi-check-circle</x:v>
      </x:c>
      <x:c r="F6" s="165" t="n">
        <x:v>5</x:v>
      </x:c>
    </x:row>
    <x:row r="7">
      <x:c r="A7" s="161" t="str">
        <x:v>INC-SCHPY001-06</x:v>
      </x:c>
      <x:c r="B7" s="147" t="str">
        <x:v>SCHPY001</x:v>
      </x:c>
      <x:c r="C7" s="147" t="str">
        <x:v>excluded</x:v>
      </x:c>
      <x:c r="D7" s="147" t="str">
        <x:v>Chi phí cá nhân và dịch vụ không ghi trong chương trình.</x:v>
      </x:c>
      <x:c r="E7" s="147" t="str">
        <x:v>bi-x-circle</x:v>
      </x:c>
      <x:c r="F7" s="165" t="n">
        <x:v>6</x:v>
      </x:c>
    </x:row>
    <x:row r="8">
      <x:c r="A8" s="161" t="str">
        <x:v>INC-SCHPY001-07</x:v>
      </x:c>
      <x:c r="B8" s="147" t="str">
        <x:v>SCHPY001</x:v>
      </x:c>
      <x:c r="C8" s="147" t="str">
        <x:v>excluded</x:v>
      </x:c>
      <x:c r="D8" s="147" t="str">
        <x:v>Phụ thu phòng riêng hoặc nâng hạng dịch vụ.</x:v>
      </x:c>
      <x:c r="E8" s="147" t="str">
        <x:v>bi-x-circle</x:v>
      </x:c>
      <x:c r="F8" s="165" t="n">
        <x:v>7</x:v>
      </x:c>
    </x:row>
    <x:row r="9">
      <x:c r="A9" s="161" t="str">
        <x:v>INC-SCHPY001-08</x:v>
      </x:c>
      <x:c r="B9" s="147" t="str">
        <x:v>SCHPY001</x:v>
      </x:c>
      <x:c r="C9" s="147" t="str">
        <x:v>excluded</x:v>
      </x:c>
      <x:c r="D9" s="147" t="str">
        <x:v>Bảo hiểm tự chọn và các khoản phát sinh do thay đổi cá nhân.</x:v>
      </x:c>
      <x:c r="E9" s="147" t="str">
        <x:v>bi-x-circle</x:v>
      </x:c>
      <x:c r="F9" s="165" t="n">
        <x:v>8</x:v>
      </x:c>
    </x:row>
    <x:row r="10">
      <x:c r="A10" s="161" t="str">
        <x:v>INC-SCHPY002-01</x:v>
      </x:c>
      <x:c r="B10" s="147" t="str">
        <x:v>SCHPY002</x:v>
      </x:c>
      <x:c r="C10" s="147" t="str">
        <x:v>included</x:v>
      </x:c>
      <x:c r="D10" s="147" t="str">
        <x:v>Phương tiện di chuyển theo lịch trình.</x:v>
      </x:c>
      <x:c r="E10" s="147" t="str">
        <x:v>bi-check-circle</x:v>
      </x:c>
      <x:c r="F10" s="165" t="n">
        <x:v>1</x:v>
      </x:c>
    </x:row>
    <x:row r="11">
      <x:c r="A11" s="161" t="str">
        <x:v>INC-SCHPY002-02</x:v>
      </x:c>
      <x:c r="B11" s="147" t="str">
        <x:v>SCHPY002</x:v>
      </x:c>
      <x:c r="C11" s="147" t="str">
        <x:v>included</x:v>
      </x:c>
      <x:c r="D11" s="147" t="str">
        <x:v>Hướng dẫn viên đồng hành theo chương trình.</x:v>
      </x:c>
      <x:c r="E11" s="147" t="str">
        <x:v>bi-check-circle</x:v>
      </x:c>
      <x:c r="F11" s="165" t="n">
        <x:v>2</x:v>
      </x:c>
    </x:row>
    <x:row r="12">
      <x:c r="A12" s="161" t="str">
        <x:v>INC-SCHPY002-03</x:v>
      </x:c>
      <x:c r="B12" s="147" t="str">
        <x:v>SCHPY002</x:v>
      </x:c>
      <x:c r="C12" s="147" t="str">
        <x:v>included</x:v>
      </x:c>
      <x:c r="D12" s="147" t="str">
        <x:v>Vé tham quan và hoạt động được ghi rõ trong lịch trình.</x:v>
      </x:c>
      <x:c r="E12" s="147" t="str">
        <x:v>bi-check-circle</x:v>
      </x:c>
      <x:c r="F12" s="165" t="n">
        <x:v>3</x:v>
      </x:c>
    </x:row>
    <x:row r="13">
      <x:c r="A13" s="161" t="str">
        <x:v>INC-SCHPY002-04</x:v>
      </x:c>
      <x:c r="B13" s="147" t="str">
        <x:v>SCHPY002</x:v>
      </x:c>
      <x:c r="C13" s="147" t="str">
        <x:v>included</x:v>
      </x:c>
      <x:c r="D13" s="147" t="str">
        <x:v>Các bữa ăn được ghi trong chương trình tour.</x:v>
      </x:c>
      <x:c r="E13" s="147" t="str">
        <x:v>bi-check-circle</x:v>
      </x:c>
      <x:c r="F13" s="165" t="n">
        <x:v>4</x:v>
      </x:c>
    </x:row>
    <x:row r="14">
      <x:c r="A14" s="161" t="str">
        <x:v>INC-SCHPY002-05</x:v>
      </x:c>
      <x:c r="B14" s="147" t="str">
        <x:v>SCHPY002</x:v>
      </x:c>
      <x:c r="C14" s="147" t="str">
        <x:v>included</x:v>
      </x:c>
      <x:c r="D14" s="147" t="str">
        <x:v>Nước uống refill và hỗ trợ cơ bản trong chuyến đi.</x:v>
      </x:c>
      <x:c r="E14" s="147" t="str">
        <x:v>bi-check-circle</x:v>
      </x:c>
      <x:c r="F14" s="165" t="n">
        <x:v>5</x:v>
      </x:c>
    </x:row>
    <x:row r="15">
      <x:c r="A15" s="161" t="str">
        <x:v>INC-SCHPY002-06</x:v>
      </x:c>
      <x:c r="B15" s="147" t="str">
        <x:v>SCHPY002</x:v>
      </x:c>
      <x:c r="C15" s="147" t="str">
        <x:v>excluded</x:v>
      </x:c>
      <x:c r="D15" s="147" t="str">
        <x:v>Chi phí cá nhân và dịch vụ không ghi trong chương trình.</x:v>
      </x:c>
      <x:c r="E15" s="147" t="str">
        <x:v>bi-x-circle</x:v>
      </x:c>
      <x:c r="F15" s="165" t="n">
        <x:v>6</x:v>
      </x:c>
    </x:row>
    <x:row r="16">
      <x:c r="A16" s="161" t="str">
        <x:v>INC-SCHPY002-07</x:v>
      </x:c>
      <x:c r="B16" s="147" t="str">
        <x:v>SCHPY002</x:v>
      </x:c>
      <x:c r="C16" s="147" t="str">
        <x:v>excluded</x:v>
      </x:c>
      <x:c r="D16" s="147" t="str">
        <x:v>Phụ thu phòng riêng hoặc nâng hạng dịch vụ.</x:v>
      </x:c>
      <x:c r="E16" s="147" t="str">
        <x:v>bi-x-circle</x:v>
      </x:c>
      <x:c r="F16" s="165" t="n">
        <x:v>7</x:v>
      </x:c>
    </x:row>
    <x:row r="17">
      <x:c r="A17" s="161" t="str">
        <x:v>INC-SCHPY002-08</x:v>
      </x:c>
      <x:c r="B17" s="147" t="str">
        <x:v>SCHPY002</x:v>
      </x:c>
      <x:c r="C17" s="147" t="str">
        <x:v>excluded</x:v>
      </x:c>
      <x:c r="D17" s="147" t="str">
        <x:v>Bảo hiểm tự chọn và các khoản phát sinh do thay đổi cá nhân.</x:v>
      </x:c>
      <x:c r="E17" s="147" t="str">
        <x:v>bi-x-circle</x:v>
      </x:c>
      <x:c r="F17" s="165" t="n">
        <x:v>8</x:v>
      </x:c>
    </x:row>
    <x:row r="18">
      <x:c r="A18" s="161" t="str">
        <x:v>INC-SCHPY003-01</x:v>
      </x:c>
      <x:c r="B18" s="147" t="str">
        <x:v>SCHPY003</x:v>
      </x:c>
      <x:c r="C18" s="147" t="str">
        <x:v>included</x:v>
      </x:c>
      <x:c r="D18" s="147" t="str">
        <x:v>Phương tiện di chuyển theo lịch trình.</x:v>
      </x:c>
      <x:c r="E18" s="147" t="str">
        <x:v>bi-check-circle</x:v>
      </x:c>
      <x:c r="F18" s="165" t="n">
        <x:v>1</x:v>
      </x:c>
    </x:row>
    <x:row r="19">
      <x:c r="A19" s="161" t="str">
        <x:v>INC-SCHPY003-02</x:v>
      </x:c>
      <x:c r="B19" s="147" t="str">
        <x:v>SCHPY003</x:v>
      </x:c>
      <x:c r="C19" s="147" t="str">
        <x:v>included</x:v>
      </x:c>
      <x:c r="D19" s="147" t="str">
        <x:v>Hướng dẫn viên đồng hành theo chương trình.</x:v>
      </x:c>
      <x:c r="E19" s="147" t="str">
        <x:v>bi-check-circle</x:v>
      </x:c>
      <x:c r="F19" s="165" t="n">
        <x:v>2</x:v>
      </x:c>
    </x:row>
    <x:row r="20">
      <x:c r="A20" s="161" t="str">
        <x:v>INC-SCHPY003-03</x:v>
      </x:c>
      <x:c r="B20" s="147" t="str">
        <x:v>SCHPY003</x:v>
      </x:c>
      <x:c r="C20" s="147" t="str">
        <x:v>included</x:v>
      </x:c>
      <x:c r="D20" s="147" t="str">
        <x:v>Vé tham quan và hoạt động được ghi rõ trong lịch trình.</x:v>
      </x:c>
      <x:c r="E20" s="147" t="str">
        <x:v>bi-check-circle</x:v>
      </x:c>
      <x:c r="F20" s="165" t="n">
        <x:v>3</x:v>
      </x:c>
    </x:row>
    <x:row r="21">
      <x:c r="A21" s="161" t="str">
        <x:v>INC-SCHPY003-04</x:v>
      </x:c>
      <x:c r="B21" s="147" t="str">
        <x:v>SCHPY003</x:v>
      </x:c>
      <x:c r="C21" s="147" t="str">
        <x:v>included</x:v>
      </x:c>
      <x:c r="D21" s="147" t="str">
        <x:v>Các bữa ăn được ghi trong chương trình tour.</x:v>
      </x:c>
      <x:c r="E21" s="147" t="str">
        <x:v>bi-check-circle</x:v>
      </x:c>
      <x:c r="F21" s="165" t="n">
        <x:v>4</x:v>
      </x:c>
    </x:row>
    <x:row r="22">
      <x:c r="A22" s="161" t="str">
        <x:v>INC-SCHPY003-05</x:v>
      </x:c>
      <x:c r="B22" s="147" t="str">
        <x:v>SCHPY003</x:v>
      </x:c>
      <x:c r="C22" s="147" t="str">
        <x:v>included</x:v>
      </x:c>
      <x:c r="D22" s="147" t="str">
        <x:v>Nước uống refill và hỗ trợ cơ bản trong chuyến đi.</x:v>
      </x:c>
      <x:c r="E22" s="147" t="str">
        <x:v>bi-check-circle</x:v>
      </x:c>
      <x:c r="F22" s="165" t="n">
        <x:v>5</x:v>
      </x:c>
    </x:row>
    <x:row r="23">
      <x:c r="A23" s="161" t="str">
        <x:v>INC-SCHPY003-06</x:v>
      </x:c>
      <x:c r="B23" s="147" t="str">
        <x:v>SCHPY003</x:v>
      </x:c>
      <x:c r="C23" s="147" t="str">
        <x:v>excluded</x:v>
      </x:c>
      <x:c r="D23" s="147" t="str">
        <x:v>Chi phí cá nhân và dịch vụ không ghi trong chương trình.</x:v>
      </x:c>
      <x:c r="E23" s="147" t="str">
        <x:v>bi-x-circle</x:v>
      </x:c>
      <x:c r="F23" s="165" t="n">
        <x:v>6</x:v>
      </x:c>
    </x:row>
    <x:row r="24">
      <x:c r="A24" s="161" t="str">
        <x:v>INC-SCHPY003-07</x:v>
      </x:c>
      <x:c r="B24" s="147" t="str">
        <x:v>SCHPY003</x:v>
      </x:c>
      <x:c r="C24" s="147" t="str">
        <x:v>excluded</x:v>
      </x:c>
      <x:c r="D24" s="147" t="str">
        <x:v>Phụ thu phòng riêng hoặc nâng hạng dịch vụ.</x:v>
      </x:c>
      <x:c r="E24" s="147" t="str">
        <x:v>bi-x-circle</x:v>
      </x:c>
      <x:c r="F24" s="165" t="n">
        <x:v>7</x:v>
      </x:c>
    </x:row>
    <x:row r="25">
      <x:c r="A25" s="161" t="str">
        <x:v>INC-SCHPY003-08</x:v>
      </x:c>
      <x:c r="B25" s="147" t="str">
        <x:v>SCHPY003</x:v>
      </x:c>
      <x:c r="C25" s="147" t="str">
        <x:v>excluded</x:v>
      </x:c>
      <x:c r="D25" s="147" t="str">
        <x:v>Bảo hiểm tự chọn và các khoản phát sinh do thay đổi cá nhân.</x:v>
      </x:c>
      <x:c r="E25" s="147" t="str">
        <x:v>bi-x-circle</x:v>
      </x:c>
      <x:c r="F25" s="165" t="n">
        <x:v>8</x:v>
      </x:c>
    </x:row>
    <x:row r="26">
      <x:c r="A26" s="161" t="str">
        <x:v>INC-SCHPY004-01</x:v>
      </x:c>
      <x:c r="B26" s="147" t="str">
        <x:v>SCHPY004</x:v>
      </x:c>
      <x:c r="C26" s="147" t="str">
        <x:v>included</x:v>
      </x:c>
      <x:c r="D26" s="147" t="str">
        <x:v>Phương tiện di chuyển theo lịch trình.</x:v>
      </x:c>
      <x:c r="E26" s="147" t="str">
        <x:v>bi-check-circle</x:v>
      </x:c>
      <x:c r="F26" s="165" t="n">
        <x:v>1</x:v>
      </x:c>
    </x:row>
    <x:row r="27">
      <x:c r="A27" s="161" t="str">
        <x:v>INC-SCHPY004-02</x:v>
      </x:c>
      <x:c r="B27" s="147" t="str">
        <x:v>SCHPY004</x:v>
      </x:c>
      <x:c r="C27" s="147" t="str">
        <x:v>included</x:v>
      </x:c>
      <x:c r="D27" s="147" t="str">
        <x:v>Hướng dẫn viên đồng hành theo chương trình.</x:v>
      </x:c>
      <x:c r="E27" s="147" t="str">
        <x:v>bi-check-circle</x:v>
      </x:c>
      <x:c r="F27" s="165" t="n">
        <x:v>2</x:v>
      </x:c>
    </x:row>
    <x:row r="28">
      <x:c r="A28" s="161" t="str">
        <x:v>INC-SCHPY004-03</x:v>
      </x:c>
      <x:c r="B28" s="147" t="str">
        <x:v>SCHPY004</x:v>
      </x:c>
      <x:c r="C28" s="147" t="str">
        <x:v>included</x:v>
      </x:c>
      <x:c r="D28" s="147" t="str">
        <x:v>Vé tham quan và hoạt động được ghi rõ trong lịch trình.</x:v>
      </x:c>
      <x:c r="E28" s="147" t="str">
        <x:v>bi-check-circle</x:v>
      </x:c>
      <x:c r="F28" s="165" t="n">
        <x:v>3</x:v>
      </x:c>
    </x:row>
    <x:row r="29">
      <x:c r="A29" s="161" t="str">
        <x:v>INC-SCHPY004-04</x:v>
      </x:c>
      <x:c r="B29" s="147" t="str">
        <x:v>SCHPY004</x:v>
      </x:c>
      <x:c r="C29" s="147" t="str">
        <x:v>included</x:v>
      </x:c>
      <x:c r="D29" s="147" t="str">
        <x:v>Các bữa ăn được ghi trong chương trình tour.</x:v>
      </x:c>
      <x:c r="E29" s="147" t="str">
        <x:v>bi-check-circle</x:v>
      </x:c>
      <x:c r="F29" s="165" t="n">
        <x:v>4</x:v>
      </x:c>
    </x:row>
    <x:row r="30">
      <x:c r="A30" s="161" t="str">
        <x:v>INC-SCHPY004-05</x:v>
      </x:c>
      <x:c r="B30" s="147" t="str">
        <x:v>SCHPY004</x:v>
      </x:c>
      <x:c r="C30" s="147" t="str">
        <x:v>included</x:v>
      </x:c>
      <x:c r="D30" s="147" t="str">
        <x:v>Nước uống refill và hỗ trợ cơ bản trong chuyến đi.</x:v>
      </x:c>
      <x:c r="E30" s="147" t="str">
        <x:v>bi-check-circle</x:v>
      </x:c>
      <x:c r="F30" s="165" t="n">
        <x:v>5</x:v>
      </x:c>
    </x:row>
    <x:row r="31">
      <x:c r="A31" s="161" t="str">
        <x:v>INC-SCHPY004-06</x:v>
      </x:c>
      <x:c r="B31" s="147" t="str">
        <x:v>SCHPY004</x:v>
      </x:c>
      <x:c r="C31" s="147" t="str">
        <x:v>excluded</x:v>
      </x:c>
      <x:c r="D31" s="147" t="str">
        <x:v>Chi phí cá nhân và dịch vụ không ghi trong chương trình.</x:v>
      </x:c>
      <x:c r="E31" s="147" t="str">
        <x:v>bi-x-circle</x:v>
      </x:c>
      <x:c r="F31" s="165" t="n">
        <x:v>6</x:v>
      </x:c>
    </x:row>
    <x:row r="32">
      <x:c r="A32" s="161" t="str">
        <x:v>INC-SCHPY004-07</x:v>
      </x:c>
      <x:c r="B32" s="147" t="str">
        <x:v>SCHPY004</x:v>
      </x:c>
      <x:c r="C32" s="147" t="str">
        <x:v>excluded</x:v>
      </x:c>
      <x:c r="D32" s="147" t="str">
        <x:v>Phụ thu phòng riêng hoặc nâng hạng dịch vụ.</x:v>
      </x:c>
      <x:c r="E32" s="147" t="str">
        <x:v>bi-x-circle</x:v>
      </x:c>
      <x:c r="F32" s="165" t="n">
        <x:v>7</x:v>
      </x:c>
    </x:row>
    <x:row r="33">
      <x:c r="A33" s="161" t="str">
        <x:v>INC-SCHPY004-08</x:v>
      </x:c>
      <x:c r="B33" s="147" t="str">
        <x:v>SCHPY004</x:v>
      </x:c>
      <x:c r="C33" s="147" t="str">
        <x:v>excluded</x:v>
      </x:c>
      <x:c r="D33" s="147" t="str">
        <x:v>Bảo hiểm tự chọn và các khoản phát sinh do thay đổi cá nhân.</x:v>
      </x:c>
      <x:c r="E33" s="147" t="str">
        <x:v>bi-x-circle</x:v>
      </x:c>
      <x:c r="F33" s="165" t="n">
        <x:v>8</x:v>
      </x:c>
    </x:row>
    <x:row r="34">
      <x:c r="A34" s="161" t="str">
        <x:v>INC-SCHDL005-01</x:v>
      </x:c>
      <x:c r="B34" s="147" t="str">
        <x:v>SCHDL005</x:v>
      </x:c>
      <x:c r="C34" s="147" t="str">
        <x:v>included</x:v>
      </x:c>
      <x:c r="D34" s="147" t="str">
        <x:v>Phương tiện di chuyển theo lịch trình.</x:v>
      </x:c>
      <x:c r="E34" s="147" t="str">
        <x:v>bi-check-circle</x:v>
      </x:c>
      <x:c r="F34" s="165" t="n">
        <x:v>1</x:v>
      </x:c>
    </x:row>
    <x:row r="35">
      <x:c r="A35" s="161" t="str">
        <x:v>INC-SCHDL005-02</x:v>
      </x:c>
      <x:c r="B35" s="147" t="str">
        <x:v>SCHDL005</x:v>
      </x:c>
      <x:c r="C35" s="147" t="str">
        <x:v>included</x:v>
      </x:c>
      <x:c r="D35" s="147" t="str">
        <x:v>Hướng dẫn viên đồng hành theo chương trình.</x:v>
      </x:c>
      <x:c r="E35" s="147" t="str">
        <x:v>bi-check-circle</x:v>
      </x:c>
      <x:c r="F35" s="165" t="n">
        <x:v>2</x:v>
      </x:c>
    </x:row>
    <x:row r="36">
      <x:c r="A36" s="161" t="str">
        <x:v>INC-SCHDL005-03</x:v>
      </x:c>
      <x:c r="B36" s="147" t="str">
        <x:v>SCHDL005</x:v>
      </x:c>
      <x:c r="C36" s="147" t="str">
        <x:v>included</x:v>
      </x:c>
      <x:c r="D36" s="147" t="str">
        <x:v>Vé tham quan và hoạt động được ghi rõ trong lịch trình.</x:v>
      </x:c>
      <x:c r="E36" s="147" t="str">
        <x:v>bi-check-circle</x:v>
      </x:c>
      <x:c r="F36" s="165" t="n">
        <x:v>3</x:v>
      </x:c>
    </x:row>
    <x:row r="37">
      <x:c r="A37" s="161" t="str">
        <x:v>INC-SCHDL005-04</x:v>
      </x:c>
      <x:c r="B37" s="147" t="str">
        <x:v>SCHDL005</x:v>
      </x:c>
      <x:c r="C37" s="147" t="str">
        <x:v>included</x:v>
      </x:c>
      <x:c r="D37" s="147" t="str">
        <x:v>Các bữa ăn được ghi trong chương trình tour.</x:v>
      </x:c>
      <x:c r="E37" s="147" t="str">
        <x:v>bi-check-circle</x:v>
      </x:c>
      <x:c r="F37" s="165" t="n">
        <x:v>4</x:v>
      </x:c>
    </x:row>
    <x:row r="38">
      <x:c r="A38" s="161" t="str">
        <x:v>INC-SCHDL005-05</x:v>
      </x:c>
      <x:c r="B38" s="147" t="str">
        <x:v>SCHDL005</x:v>
      </x:c>
      <x:c r="C38" s="147" t="str">
        <x:v>included</x:v>
      </x:c>
      <x:c r="D38" s="147" t="str">
        <x:v>Nước uống refill và hỗ trợ cơ bản trong chuyến đi.</x:v>
      </x:c>
      <x:c r="E38" s="147" t="str">
        <x:v>bi-check-circle</x:v>
      </x:c>
      <x:c r="F38" s="165" t="n">
        <x:v>5</x:v>
      </x:c>
    </x:row>
    <x:row r="39">
      <x:c r="A39" s="161" t="str">
        <x:v>INC-SCHDL005-06</x:v>
      </x:c>
      <x:c r="B39" s="147" t="str">
        <x:v>SCHDL005</x:v>
      </x:c>
      <x:c r="C39" s="147" t="str">
        <x:v>excluded</x:v>
      </x:c>
      <x:c r="D39" s="147" t="str">
        <x:v>Chi phí cá nhân và dịch vụ không ghi trong chương trình.</x:v>
      </x:c>
      <x:c r="E39" s="147" t="str">
        <x:v>bi-x-circle</x:v>
      </x:c>
      <x:c r="F39" s="165" t="n">
        <x:v>6</x:v>
      </x:c>
    </x:row>
    <x:row r="40">
      <x:c r="A40" s="161" t="str">
        <x:v>INC-SCHDL005-07</x:v>
      </x:c>
      <x:c r="B40" s="147" t="str">
        <x:v>SCHDL005</x:v>
      </x:c>
      <x:c r="C40" s="147" t="str">
        <x:v>excluded</x:v>
      </x:c>
      <x:c r="D40" s="147" t="str">
        <x:v>Phụ thu phòng riêng hoặc nâng hạng dịch vụ.</x:v>
      </x:c>
      <x:c r="E40" s="147" t="str">
        <x:v>bi-x-circle</x:v>
      </x:c>
      <x:c r="F40" s="165" t="n">
        <x:v>7</x:v>
      </x:c>
    </x:row>
    <x:row r="41">
      <x:c r="A41" s="161" t="str">
        <x:v>INC-SCHDL005-08</x:v>
      </x:c>
      <x:c r="B41" s="147" t="str">
        <x:v>SCHDL005</x:v>
      </x:c>
      <x:c r="C41" s="147" t="str">
        <x:v>excluded</x:v>
      </x:c>
      <x:c r="D41" s="147" t="str">
        <x:v>Bảo hiểm tự chọn và các khoản phát sinh do thay đổi cá nhân.</x:v>
      </x:c>
      <x:c r="E41" s="147" t="str">
        <x:v>bi-x-circle</x:v>
      </x:c>
      <x:c r="F41" s="165" t="n">
        <x:v>8</x:v>
      </x:c>
    </x:row>
    <x:row r="42">
      <x:c r="A42" s="161" t="str">
        <x:v>INC-SCHDL006-01</x:v>
      </x:c>
      <x:c r="B42" s="147" t="str">
        <x:v>SCHDL006</x:v>
      </x:c>
      <x:c r="C42" s="147" t="str">
        <x:v>included</x:v>
      </x:c>
      <x:c r="D42" s="147" t="str">
        <x:v>Phương tiện di chuyển theo lịch trình.</x:v>
      </x:c>
      <x:c r="E42" s="147" t="str">
        <x:v>bi-check-circle</x:v>
      </x:c>
      <x:c r="F42" s="165" t="n">
        <x:v>1</x:v>
      </x:c>
    </x:row>
    <x:row r="43">
      <x:c r="A43" s="161" t="str">
        <x:v>INC-SCHDL006-02</x:v>
      </x:c>
      <x:c r="B43" s="147" t="str">
        <x:v>SCHDL006</x:v>
      </x:c>
      <x:c r="C43" s="147" t="str">
        <x:v>included</x:v>
      </x:c>
      <x:c r="D43" s="147" t="str">
        <x:v>Hướng dẫn viên đồng hành theo chương trình.</x:v>
      </x:c>
      <x:c r="E43" s="147" t="str">
        <x:v>bi-check-circle</x:v>
      </x:c>
      <x:c r="F43" s="165" t="n">
        <x:v>2</x:v>
      </x:c>
    </x:row>
    <x:row r="44">
      <x:c r="A44" s="161" t="str">
        <x:v>INC-SCHDL006-03</x:v>
      </x:c>
      <x:c r="B44" s="147" t="str">
        <x:v>SCHDL006</x:v>
      </x:c>
      <x:c r="C44" s="147" t="str">
        <x:v>included</x:v>
      </x:c>
      <x:c r="D44" s="147" t="str">
        <x:v>Vé tham quan và hoạt động được ghi rõ trong lịch trình.</x:v>
      </x:c>
      <x:c r="E44" s="147" t="str">
        <x:v>bi-check-circle</x:v>
      </x:c>
      <x:c r="F44" s="165" t="n">
        <x:v>3</x:v>
      </x:c>
    </x:row>
    <x:row r="45">
      <x:c r="A45" s="161" t="str">
        <x:v>INC-SCHDL006-04</x:v>
      </x:c>
      <x:c r="B45" s="147" t="str">
        <x:v>SCHDL006</x:v>
      </x:c>
      <x:c r="C45" s="147" t="str">
        <x:v>included</x:v>
      </x:c>
      <x:c r="D45" s="147" t="str">
        <x:v>Các bữa ăn được ghi trong chương trình tour.</x:v>
      </x:c>
      <x:c r="E45" s="147" t="str">
        <x:v>bi-check-circle</x:v>
      </x:c>
      <x:c r="F45" s="165" t="n">
        <x:v>4</x:v>
      </x:c>
    </x:row>
    <x:row r="46">
      <x:c r="A46" s="161" t="str">
        <x:v>INC-SCHDL006-05</x:v>
      </x:c>
      <x:c r="B46" s="147" t="str">
        <x:v>SCHDL006</x:v>
      </x:c>
      <x:c r="C46" s="147" t="str">
        <x:v>included</x:v>
      </x:c>
      <x:c r="D46" s="147" t="str">
        <x:v>Nước uống refill và hỗ trợ cơ bản trong chuyến đi.</x:v>
      </x:c>
      <x:c r="E46" s="147" t="str">
        <x:v>bi-check-circle</x:v>
      </x:c>
      <x:c r="F46" s="165" t="n">
        <x:v>5</x:v>
      </x:c>
    </x:row>
    <x:row r="47">
      <x:c r="A47" s="161" t="str">
        <x:v>INC-SCHDL006-06</x:v>
      </x:c>
      <x:c r="B47" s="147" t="str">
        <x:v>SCHDL006</x:v>
      </x:c>
      <x:c r="C47" s="147" t="str">
        <x:v>excluded</x:v>
      </x:c>
      <x:c r="D47" s="147" t="str">
        <x:v>Chi phí cá nhân và dịch vụ không ghi trong chương trình.</x:v>
      </x:c>
      <x:c r="E47" s="147" t="str">
        <x:v>bi-x-circle</x:v>
      </x:c>
      <x:c r="F47" s="165" t="n">
        <x:v>6</x:v>
      </x:c>
    </x:row>
    <x:row r="48">
      <x:c r="A48" s="161" t="str">
        <x:v>INC-SCHDL006-07</x:v>
      </x:c>
      <x:c r="B48" s="147" t="str">
        <x:v>SCHDL006</x:v>
      </x:c>
      <x:c r="C48" s="147" t="str">
        <x:v>excluded</x:v>
      </x:c>
      <x:c r="D48" s="147" t="str">
        <x:v>Phụ thu phòng riêng hoặc nâng hạng dịch vụ.</x:v>
      </x:c>
      <x:c r="E48" s="147" t="str">
        <x:v>bi-x-circle</x:v>
      </x:c>
      <x:c r="F48" s="165" t="n">
        <x:v>7</x:v>
      </x:c>
    </x:row>
    <x:row r="49">
      <x:c r="A49" s="161" t="str">
        <x:v>INC-SCHDL006-08</x:v>
      </x:c>
      <x:c r="B49" s="147" t="str">
        <x:v>SCHDL006</x:v>
      </x:c>
      <x:c r="C49" s="147" t="str">
        <x:v>excluded</x:v>
      </x:c>
      <x:c r="D49" s="147" t="str">
        <x:v>Bảo hiểm tự chọn và các khoản phát sinh do thay đổi cá nhân.</x:v>
      </x:c>
      <x:c r="E49" s="147" t="str">
        <x:v>bi-x-circle</x:v>
      </x:c>
      <x:c r="F49" s="165" t="n">
        <x:v>8</x:v>
      </x:c>
    </x:row>
    <x:row r="50">
      <x:c r="A50" s="161" t="str">
        <x:v>INC-SCHDL007-01</x:v>
      </x:c>
      <x:c r="B50" s="147" t="str">
        <x:v>SCHDL007</x:v>
      </x:c>
      <x:c r="C50" s="147" t="str">
        <x:v>included</x:v>
      </x:c>
      <x:c r="D50" s="147" t="str">
        <x:v>Phương tiện di chuyển theo lịch trình.</x:v>
      </x:c>
      <x:c r="E50" s="147" t="str">
        <x:v>bi-check-circle</x:v>
      </x:c>
      <x:c r="F50" s="165" t="n">
        <x:v>1</x:v>
      </x:c>
    </x:row>
    <x:row r="51">
      <x:c r="A51" s="161" t="str">
        <x:v>INC-SCHDL007-02</x:v>
      </x:c>
      <x:c r="B51" s="147" t="str">
        <x:v>SCHDL007</x:v>
      </x:c>
      <x:c r="C51" s="147" t="str">
        <x:v>included</x:v>
      </x:c>
      <x:c r="D51" s="147" t="str">
        <x:v>Hướng dẫn viên đồng hành theo chương trình.</x:v>
      </x:c>
      <x:c r="E51" s="147" t="str">
        <x:v>bi-check-circle</x:v>
      </x:c>
      <x:c r="F51" s="165" t="n">
        <x:v>2</x:v>
      </x:c>
    </x:row>
    <x:row r="52">
      <x:c r="A52" s="161" t="str">
        <x:v>INC-SCHDL007-03</x:v>
      </x:c>
      <x:c r="B52" s="147" t="str">
        <x:v>SCHDL007</x:v>
      </x:c>
      <x:c r="C52" s="147" t="str">
        <x:v>included</x:v>
      </x:c>
      <x:c r="D52" s="147" t="str">
        <x:v>Vé tham quan và hoạt động được ghi rõ trong lịch trình.</x:v>
      </x:c>
      <x:c r="E52" s="147" t="str">
        <x:v>bi-check-circle</x:v>
      </x:c>
      <x:c r="F52" s="165" t="n">
        <x:v>3</x:v>
      </x:c>
    </x:row>
    <x:row r="53">
      <x:c r="A53" s="161" t="str">
        <x:v>INC-SCHDL007-04</x:v>
      </x:c>
      <x:c r="B53" s="147" t="str">
        <x:v>SCHDL007</x:v>
      </x:c>
      <x:c r="C53" s="147" t="str">
        <x:v>included</x:v>
      </x:c>
      <x:c r="D53" s="147" t="str">
        <x:v>Các bữa ăn được ghi trong chương trình tour.</x:v>
      </x:c>
      <x:c r="E53" s="147" t="str">
        <x:v>bi-check-circle</x:v>
      </x:c>
      <x:c r="F53" s="165" t="n">
        <x:v>4</x:v>
      </x:c>
    </x:row>
    <x:row r="54">
      <x:c r="A54" s="161" t="str">
        <x:v>INC-SCHDL007-05</x:v>
      </x:c>
      <x:c r="B54" s="147" t="str">
        <x:v>SCHDL007</x:v>
      </x:c>
      <x:c r="C54" s="147" t="str">
        <x:v>included</x:v>
      </x:c>
      <x:c r="D54" s="147" t="str">
        <x:v>Nước uống refill và hỗ trợ cơ bản trong chuyến đi.</x:v>
      </x:c>
      <x:c r="E54" s="147" t="str">
        <x:v>bi-check-circle</x:v>
      </x:c>
      <x:c r="F54" s="165" t="n">
        <x:v>5</x:v>
      </x:c>
    </x:row>
    <x:row r="55">
      <x:c r="A55" s="161" t="str">
        <x:v>INC-SCHDL007-06</x:v>
      </x:c>
      <x:c r="B55" s="147" t="str">
        <x:v>SCHDL007</x:v>
      </x:c>
      <x:c r="C55" s="147" t="str">
        <x:v>excluded</x:v>
      </x:c>
      <x:c r="D55" s="147" t="str">
        <x:v>Chi phí cá nhân và dịch vụ không ghi trong chương trình.</x:v>
      </x:c>
      <x:c r="E55" s="147" t="str">
        <x:v>bi-x-circle</x:v>
      </x:c>
      <x:c r="F55" s="165" t="n">
        <x:v>6</x:v>
      </x:c>
    </x:row>
    <x:row r="56">
      <x:c r="A56" s="161" t="str">
        <x:v>INC-SCHDL007-07</x:v>
      </x:c>
      <x:c r="B56" s="147" t="str">
        <x:v>SCHDL007</x:v>
      </x:c>
      <x:c r="C56" s="147" t="str">
        <x:v>excluded</x:v>
      </x:c>
      <x:c r="D56" s="147" t="str">
        <x:v>Phụ thu phòng riêng hoặc nâng hạng dịch vụ.</x:v>
      </x:c>
      <x:c r="E56" s="147" t="str">
        <x:v>bi-x-circle</x:v>
      </x:c>
      <x:c r="F56" s="165" t="n">
        <x:v>7</x:v>
      </x:c>
    </x:row>
    <x:row r="57">
      <x:c r="A57" s="161" t="str">
        <x:v>INC-SCHDL007-08</x:v>
      </x:c>
      <x:c r="B57" s="147" t="str">
        <x:v>SCHDL007</x:v>
      </x:c>
      <x:c r="C57" s="147" t="str">
        <x:v>excluded</x:v>
      </x:c>
      <x:c r="D57" s="147" t="str">
        <x:v>Bảo hiểm tự chọn và các khoản phát sinh do thay đổi cá nhân.</x:v>
      </x:c>
      <x:c r="E57" s="147" t="str">
        <x:v>bi-x-circle</x:v>
      </x:c>
      <x:c r="F57" s="165" t="n">
        <x:v>8</x:v>
      </x:c>
    </x:row>
    <x:row r="58">
      <x:c r="A58" s="161" t="str">
        <x:v>INC-SCHDL008-01</x:v>
      </x:c>
      <x:c r="B58" s="147" t="str">
        <x:v>SCHDL008</x:v>
      </x:c>
      <x:c r="C58" s="147" t="str">
        <x:v>included</x:v>
      </x:c>
      <x:c r="D58" s="147" t="str">
        <x:v>Phương tiện di chuyển theo lịch trình.</x:v>
      </x:c>
      <x:c r="E58" s="147" t="str">
        <x:v>bi-check-circle</x:v>
      </x:c>
      <x:c r="F58" s="165" t="n">
        <x:v>1</x:v>
      </x:c>
    </x:row>
    <x:row r="59">
      <x:c r="A59" s="161" t="str">
        <x:v>INC-SCHDL008-02</x:v>
      </x:c>
      <x:c r="B59" s="147" t="str">
        <x:v>SCHDL008</x:v>
      </x:c>
      <x:c r="C59" s="147" t="str">
        <x:v>included</x:v>
      </x:c>
      <x:c r="D59" s="147" t="str">
        <x:v>Hướng dẫn viên đồng hành theo chương trình.</x:v>
      </x:c>
      <x:c r="E59" s="147" t="str">
        <x:v>bi-check-circle</x:v>
      </x:c>
      <x:c r="F59" s="165" t="n">
        <x:v>2</x:v>
      </x:c>
    </x:row>
    <x:row r="60">
      <x:c r="A60" s="161" t="str">
        <x:v>INC-SCHDL008-03</x:v>
      </x:c>
      <x:c r="B60" s="147" t="str">
        <x:v>SCHDL008</x:v>
      </x:c>
      <x:c r="C60" s="147" t="str">
        <x:v>included</x:v>
      </x:c>
      <x:c r="D60" s="147" t="str">
        <x:v>Vé tham quan và hoạt động được ghi rõ trong lịch trình.</x:v>
      </x:c>
      <x:c r="E60" s="147" t="str">
        <x:v>bi-check-circle</x:v>
      </x:c>
      <x:c r="F60" s="165" t="n">
        <x:v>3</x:v>
      </x:c>
    </x:row>
    <x:row r="61">
      <x:c r="A61" s="161" t="str">
        <x:v>INC-SCHDL008-04</x:v>
      </x:c>
      <x:c r="B61" s="147" t="str">
        <x:v>SCHDL008</x:v>
      </x:c>
      <x:c r="C61" s="147" t="str">
        <x:v>included</x:v>
      </x:c>
      <x:c r="D61" s="147" t="str">
        <x:v>Các bữa ăn được ghi trong chương trình tour.</x:v>
      </x:c>
      <x:c r="E61" s="147" t="str">
        <x:v>bi-check-circle</x:v>
      </x:c>
      <x:c r="F61" s="165" t="n">
        <x:v>4</x:v>
      </x:c>
    </x:row>
    <x:row r="62">
      <x:c r="A62" s="161" t="str">
        <x:v>INC-SCHDL008-05</x:v>
      </x:c>
      <x:c r="B62" s="147" t="str">
        <x:v>SCHDL008</x:v>
      </x:c>
      <x:c r="C62" s="147" t="str">
        <x:v>included</x:v>
      </x:c>
      <x:c r="D62" s="147" t="str">
        <x:v>Nước uống refill và hỗ trợ cơ bản trong chuyến đi.</x:v>
      </x:c>
      <x:c r="E62" s="147" t="str">
        <x:v>bi-check-circle</x:v>
      </x:c>
      <x:c r="F62" s="165" t="n">
        <x:v>5</x:v>
      </x:c>
    </x:row>
    <x:row r="63">
      <x:c r="A63" s="161" t="str">
        <x:v>INC-SCHDL008-06</x:v>
      </x:c>
      <x:c r="B63" s="147" t="str">
        <x:v>SCHDL008</x:v>
      </x:c>
      <x:c r="C63" s="147" t="str">
        <x:v>excluded</x:v>
      </x:c>
      <x:c r="D63" s="147" t="str">
        <x:v>Chi phí cá nhân và dịch vụ không ghi trong chương trình.</x:v>
      </x:c>
      <x:c r="E63" s="147" t="str">
        <x:v>bi-x-circle</x:v>
      </x:c>
      <x:c r="F63" s="165" t="n">
        <x:v>6</x:v>
      </x:c>
    </x:row>
    <x:row r="64">
      <x:c r="A64" s="161" t="str">
        <x:v>INC-SCHDL008-07</x:v>
      </x:c>
      <x:c r="B64" s="147" t="str">
        <x:v>SCHDL008</x:v>
      </x:c>
      <x:c r="C64" s="147" t="str">
        <x:v>excluded</x:v>
      </x:c>
      <x:c r="D64" s="147" t="str">
        <x:v>Phụ thu phòng riêng hoặc nâng hạng dịch vụ.</x:v>
      </x:c>
      <x:c r="E64" s="147" t="str">
        <x:v>bi-x-circle</x:v>
      </x:c>
      <x:c r="F64" s="165" t="n">
        <x:v>7</x:v>
      </x:c>
    </x:row>
    <x:row r="65">
      <x:c r="A65" s="161" t="str">
        <x:v>INC-SCHDL008-08</x:v>
      </x:c>
      <x:c r="B65" s="147" t="str">
        <x:v>SCHDL008</x:v>
      </x:c>
      <x:c r="C65" s="147" t="str">
        <x:v>excluded</x:v>
      </x:c>
      <x:c r="D65" s="147" t="str">
        <x:v>Bảo hiểm tự chọn và các khoản phát sinh do thay đổi cá nhân.</x:v>
      </x:c>
      <x:c r="E65" s="147" t="str">
        <x:v>bi-x-circle</x:v>
      </x:c>
      <x:c r="F65" s="165" t="n">
        <x:v>8</x:v>
      </x:c>
    </x:row>
    <x:row r="66">
      <x:c r="A66" s="161" t="str">
        <x:v>INC-SCHDN009-01</x:v>
      </x:c>
      <x:c r="B66" s="147" t="str">
        <x:v>SCHDN009</x:v>
      </x:c>
      <x:c r="C66" s="147" t="str">
        <x:v>included</x:v>
      </x:c>
      <x:c r="D66" s="147" t="str">
        <x:v>Phương tiện di chuyển theo lịch trình.</x:v>
      </x:c>
      <x:c r="E66" s="147" t="str">
        <x:v>bi-check-circle</x:v>
      </x:c>
      <x:c r="F66" s="165" t="n">
        <x:v>1</x:v>
      </x:c>
    </x:row>
    <x:row r="67">
      <x:c r="A67" s="161" t="str">
        <x:v>INC-SCHDN009-02</x:v>
      </x:c>
      <x:c r="B67" s="147" t="str">
        <x:v>SCHDN009</x:v>
      </x:c>
      <x:c r="C67" s="147" t="str">
        <x:v>included</x:v>
      </x:c>
      <x:c r="D67" s="147" t="str">
        <x:v>Hướng dẫn viên đồng hành theo chương trình.</x:v>
      </x:c>
      <x:c r="E67" s="147" t="str">
        <x:v>bi-check-circle</x:v>
      </x:c>
      <x:c r="F67" s="165" t="n">
        <x:v>2</x:v>
      </x:c>
    </x:row>
    <x:row r="68">
      <x:c r="A68" s="161" t="str">
        <x:v>INC-SCHDN009-03</x:v>
      </x:c>
      <x:c r="B68" s="147" t="str">
        <x:v>SCHDN009</x:v>
      </x:c>
      <x:c r="C68" s="147" t="str">
        <x:v>included</x:v>
      </x:c>
      <x:c r="D68" s="147" t="str">
        <x:v>Vé tham quan và hoạt động được ghi rõ trong lịch trình.</x:v>
      </x:c>
      <x:c r="E68" s="147" t="str">
        <x:v>bi-check-circle</x:v>
      </x:c>
      <x:c r="F68" s="165" t="n">
        <x:v>3</x:v>
      </x:c>
    </x:row>
    <x:row r="69">
      <x:c r="A69" s="161" t="str">
        <x:v>INC-SCHDN009-04</x:v>
      </x:c>
      <x:c r="B69" s="147" t="str">
        <x:v>SCHDN009</x:v>
      </x:c>
      <x:c r="C69" s="147" t="str">
        <x:v>included</x:v>
      </x:c>
      <x:c r="D69" s="147" t="str">
        <x:v>Các bữa ăn được ghi trong chương trình tour.</x:v>
      </x:c>
      <x:c r="E69" s="147" t="str">
        <x:v>bi-check-circle</x:v>
      </x:c>
      <x:c r="F69" s="165" t="n">
        <x:v>4</x:v>
      </x:c>
    </x:row>
    <x:row r="70">
      <x:c r="A70" s="161" t="str">
        <x:v>INC-SCHDN009-05</x:v>
      </x:c>
      <x:c r="B70" s="147" t="str">
        <x:v>SCHDN009</x:v>
      </x:c>
      <x:c r="C70" s="147" t="str">
        <x:v>included</x:v>
      </x:c>
      <x:c r="D70" s="147" t="str">
        <x:v>Nước uống refill và hỗ trợ cơ bản trong chuyến đi.</x:v>
      </x:c>
      <x:c r="E70" s="147" t="str">
        <x:v>bi-check-circle</x:v>
      </x:c>
      <x:c r="F70" s="165" t="n">
        <x:v>5</x:v>
      </x:c>
    </x:row>
    <x:row r="71">
      <x:c r="A71" s="161" t="str">
        <x:v>INC-SCHDN009-06</x:v>
      </x:c>
      <x:c r="B71" s="147" t="str">
        <x:v>SCHDN009</x:v>
      </x:c>
      <x:c r="C71" s="147" t="str">
        <x:v>excluded</x:v>
      </x:c>
      <x:c r="D71" s="147" t="str">
        <x:v>Chi phí cá nhân và dịch vụ không ghi trong chương trình.</x:v>
      </x:c>
      <x:c r="E71" s="147" t="str">
        <x:v>bi-x-circle</x:v>
      </x:c>
      <x:c r="F71" s="165" t="n">
        <x:v>6</x:v>
      </x:c>
    </x:row>
    <x:row r="72">
      <x:c r="A72" s="161" t="str">
        <x:v>INC-SCHDN009-07</x:v>
      </x:c>
      <x:c r="B72" s="147" t="str">
        <x:v>SCHDN009</x:v>
      </x:c>
      <x:c r="C72" s="147" t="str">
        <x:v>excluded</x:v>
      </x:c>
      <x:c r="D72" s="147" t="str">
        <x:v>Phụ thu phòng riêng hoặc nâng hạng dịch vụ.</x:v>
      </x:c>
      <x:c r="E72" s="147" t="str">
        <x:v>bi-x-circle</x:v>
      </x:c>
      <x:c r="F72" s="165" t="n">
        <x:v>7</x:v>
      </x:c>
    </x:row>
    <x:row r="73">
      <x:c r="A73" s="161" t="str">
        <x:v>INC-SCHDN009-08</x:v>
      </x:c>
      <x:c r="B73" s="147" t="str">
        <x:v>SCHDN009</x:v>
      </x:c>
      <x:c r="C73" s="147" t="str">
        <x:v>excluded</x:v>
      </x:c>
      <x:c r="D73" s="147" t="str">
        <x:v>Bảo hiểm tự chọn và các khoản phát sinh do thay đổi cá nhân.</x:v>
      </x:c>
      <x:c r="E73" s="147" t="str">
        <x:v>bi-x-circle</x:v>
      </x:c>
      <x:c r="F73" s="165" t="n">
        <x:v>8</x:v>
      </x:c>
    </x:row>
    <x:row r="74">
      <x:c r="A74" s="161" t="str">
        <x:v>INC-SCHDN010-01</x:v>
      </x:c>
      <x:c r="B74" s="147" t="str">
        <x:v>SCHDN010</x:v>
      </x:c>
      <x:c r="C74" s="147" t="str">
        <x:v>included</x:v>
      </x:c>
      <x:c r="D74" s="147" t="str">
        <x:v>Phương tiện di chuyển theo lịch trình.</x:v>
      </x:c>
      <x:c r="E74" s="147" t="str">
        <x:v>bi-check-circle</x:v>
      </x:c>
      <x:c r="F74" s="165" t="n">
        <x:v>1</x:v>
      </x:c>
    </x:row>
    <x:row r="75">
      <x:c r="A75" s="161" t="str">
        <x:v>INC-SCHDN010-02</x:v>
      </x:c>
      <x:c r="B75" s="147" t="str">
        <x:v>SCHDN010</x:v>
      </x:c>
      <x:c r="C75" s="147" t="str">
        <x:v>included</x:v>
      </x:c>
      <x:c r="D75" s="147" t="str">
        <x:v>Hướng dẫn viên đồng hành theo chương trình.</x:v>
      </x:c>
      <x:c r="E75" s="147" t="str">
        <x:v>bi-check-circle</x:v>
      </x:c>
      <x:c r="F75" s="165" t="n">
        <x:v>2</x:v>
      </x:c>
    </x:row>
    <x:row r="76">
      <x:c r="A76" s="161" t="str">
        <x:v>INC-SCHDN010-03</x:v>
      </x:c>
      <x:c r="B76" s="147" t="str">
        <x:v>SCHDN010</x:v>
      </x:c>
      <x:c r="C76" s="147" t="str">
        <x:v>included</x:v>
      </x:c>
      <x:c r="D76" s="147" t="str">
        <x:v>Vé tham quan và hoạt động được ghi rõ trong lịch trình.</x:v>
      </x:c>
      <x:c r="E76" s="147" t="str">
        <x:v>bi-check-circle</x:v>
      </x:c>
      <x:c r="F76" s="165" t="n">
        <x:v>3</x:v>
      </x:c>
    </x:row>
    <x:row r="77">
      <x:c r="A77" s="161" t="str">
        <x:v>INC-SCHDN010-04</x:v>
      </x:c>
      <x:c r="B77" s="147" t="str">
        <x:v>SCHDN010</x:v>
      </x:c>
      <x:c r="C77" s="147" t="str">
        <x:v>included</x:v>
      </x:c>
      <x:c r="D77" s="147" t="str">
        <x:v>Các bữa ăn được ghi trong chương trình tour.</x:v>
      </x:c>
      <x:c r="E77" s="147" t="str">
        <x:v>bi-check-circle</x:v>
      </x:c>
      <x:c r="F77" s="165" t="n">
        <x:v>4</x:v>
      </x:c>
    </x:row>
    <x:row r="78">
      <x:c r="A78" s="161" t="str">
        <x:v>INC-SCHDN010-05</x:v>
      </x:c>
      <x:c r="B78" s="147" t="str">
        <x:v>SCHDN010</x:v>
      </x:c>
      <x:c r="C78" s="147" t="str">
        <x:v>included</x:v>
      </x:c>
      <x:c r="D78" s="147" t="str">
        <x:v>Nước uống refill và hỗ trợ cơ bản trong chuyến đi.</x:v>
      </x:c>
      <x:c r="E78" s="147" t="str">
        <x:v>bi-check-circle</x:v>
      </x:c>
      <x:c r="F78" s="165" t="n">
        <x:v>5</x:v>
      </x:c>
    </x:row>
    <x:row r="79">
      <x:c r="A79" s="161" t="str">
        <x:v>INC-SCHDN010-06</x:v>
      </x:c>
      <x:c r="B79" s="147" t="str">
        <x:v>SCHDN010</x:v>
      </x:c>
      <x:c r="C79" s="147" t="str">
        <x:v>excluded</x:v>
      </x:c>
      <x:c r="D79" s="147" t="str">
        <x:v>Chi phí cá nhân và dịch vụ không ghi trong chương trình.</x:v>
      </x:c>
      <x:c r="E79" s="147" t="str">
        <x:v>bi-x-circle</x:v>
      </x:c>
      <x:c r="F79" s="165" t="n">
        <x:v>6</x:v>
      </x:c>
    </x:row>
    <x:row r="80">
      <x:c r="A80" s="161" t="str">
        <x:v>INC-SCHDN010-07</x:v>
      </x:c>
      <x:c r="B80" s="147" t="str">
        <x:v>SCHDN010</x:v>
      </x:c>
      <x:c r="C80" s="147" t="str">
        <x:v>excluded</x:v>
      </x:c>
      <x:c r="D80" s="147" t="str">
        <x:v>Phụ thu phòng riêng hoặc nâng hạng dịch vụ.</x:v>
      </x:c>
      <x:c r="E80" s="147" t="str">
        <x:v>bi-x-circle</x:v>
      </x:c>
      <x:c r="F80" s="165" t="n">
        <x:v>7</x:v>
      </x:c>
    </x:row>
    <x:row r="81">
      <x:c r="A81" s="161" t="str">
        <x:v>INC-SCHDN010-08</x:v>
      </x:c>
      <x:c r="B81" s="147" t="str">
        <x:v>SCHDN010</x:v>
      </x:c>
      <x:c r="C81" s="147" t="str">
        <x:v>excluded</x:v>
      </x:c>
      <x:c r="D81" s="147" t="str">
        <x:v>Bảo hiểm tự chọn và các khoản phát sinh do thay đổi cá nhân.</x:v>
      </x:c>
      <x:c r="E81" s="147" t="str">
        <x:v>bi-x-circle</x:v>
      </x:c>
      <x:c r="F81" s="165" t="n">
        <x:v>8</x:v>
      </x:c>
    </x:row>
    <x:row r="82">
      <x:c r="A82" s="161" t="str">
        <x:v>INC-SCHHA011-01</x:v>
      </x:c>
      <x:c r="B82" s="147" t="str">
        <x:v>SCHHA011</x:v>
      </x:c>
      <x:c r="C82" s="147" t="str">
        <x:v>included</x:v>
      </x:c>
      <x:c r="D82" s="147" t="str">
        <x:v>Phương tiện di chuyển theo lịch trình.</x:v>
      </x:c>
      <x:c r="E82" s="147" t="str">
        <x:v>bi-check-circle</x:v>
      </x:c>
      <x:c r="F82" s="165" t="n">
        <x:v>1</x:v>
      </x:c>
    </x:row>
    <x:row r="83">
      <x:c r="A83" s="161" t="str">
        <x:v>INC-SCHHA011-02</x:v>
      </x:c>
      <x:c r="B83" s="147" t="str">
        <x:v>SCHHA011</x:v>
      </x:c>
      <x:c r="C83" s="147" t="str">
        <x:v>included</x:v>
      </x:c>
      <x:c r="D83" s="147" t="str">
        <x:v>Hướng dẫn viên đồng hành theo chương trình.</x:v>
      </x:c>
      <x:c r="E83" s="147" t="str">
        <x:v>bi-check-circle</x:v>
      </x:c>
      <x:c r="F83" s="165" t="n">
        <x:v>2</x:v>
      </x:c>
    </x:row>
    <x:row r="84">
      <x:c r="A84" s="161" t="str">
        <x:v>INC-SCHHA011-03</x:v>
      </x:c>
      <x:c r="B84" s="147" t="str">
        <x:v>SCHHA011</x:v>
      </x:c>
      <x:c r="C84" s="147" t="str">
        <x:v>included</x:v>
      </x:c>
      <x:c r="D84" s="147" t="str">
        <x:v>Vé tham quan và hoạt động được ghi rõ trong lịch trình.</x:v>
      </x:c>
      <x:c r="E84" s="147" t="str">
        <x:v>bi-check-circle</x:v>
      </x:c>
      <x:c r="F84" s="165" t="n">
        <x:v>3</x:v>
      </x:c>
    </x:row>
    <x:row r="85">
      <x:c r="A85" s="161" t="str">
        <x:v>INC-SCHHA011-04</x:v>
      </x:c>
      <x:c r="B85" s="147" t="str">
        <x:v>SCHHA011</x:v>
      </x:c>
      <x:c r="C85" s="147" t="str">
        <x:v>included</x:v>
      </x:c>
      <x:c r="D85" s="147" t="str">
        <x:v>Các bữa ăn được ghi trong chương trình tour.</x:v>
      </x:c>
      <x:c r="E85" s="147" t="str">
        <x:v>bi-check-circle</x:v>
      </x:c>
      <x:c r="F85" s="165" t="n">
        <x:v>4</x:v>
      </x:c>
    </x:row>
    <x:row r="86">
      <x:c r="A86" s="161" t="str">
        <x:v>INC-SCHHA011-05</x:v>
      </x:c>
      <x:c r="B86" s="147" t="str">
        <x:v>SCHHA011</x:v>
      </x:c>
      <x:c r="C86" s="147" t="str">
        <x:v>included</x:v>
      </x:c>
      <x:c r="D86" s="147" t="str">
        <x:v>Nước uống refill và hỗ trợ cơ bản trong chuyến đi.</x:v>
      </x:c>
      <x:c r="E86" s="147" t="str">
        <x:v>bi-check-circle</x:v>
      </x:c>
      <x:c r="F86" s="165" t="n">
        <x:v>5</x:v>
      </x:c>
    </x:row>
    <x:row r="87">
      <x:c r="A87" s="161" t="str">
        <x:v>INC-SCHHA011-06</x:v>
      </x:c>
      <x:c r="B87" s="147" t="str">
        <x:v>SCHHA011</x:v>
      </x:c>
      <x:c r="C87" s="147" t="str">
        <x:v>excluded</x:v>
      </x:c>
      <x:c r="D87" s="147" t="str">
        <x:v>Chi phí cá nhân và dịch vụ không ghi trong chương trình.</x:v>
      </x:c>
      <x:c r="E87" s="147" t="str">
        <x:v>bi-x-circle</x:v>
      </x:c>
      <x:c r="F87" s="165" t="n">
        <x:v>6</x:v>
      </x:c>
    </x:row>
    <x:row r="88">
      <x:c r="A88" s="161" t="str">
        <x:v>INC-SCHHA011-07</x:v>
      </x:c>
      <x:c r="B88" s="147" t="str">
        <x:v>SCHHA011</x:v>
      </x:c>
      <x:c r="C88" s="147" t="str">
        <x:v>excluded</x:v>
      </x:c>
      <x:c r="D88" s="147" t="str">
        <x:v>Phụ thu phòng riêng hoặc nâng hạng dịch vụ.</x:v>
      </x:c>
      <x:c r="E88" s="147" t="str">
        <x:v>bi-x-circle</x:v>
      </x:c>
      <x:c r="F88" s="165" t="n">
        <x:v>7</x:v>
      </x:c>
    </x:row>
    <x:row r="89">
      <x:c r="A89" s="161" t="str">
        <x:v>INC-SCHHA011-08</x:v>
      </x:c>
      <x:c r="B89" s="147" t="str">
        <x:v>SCHHA011</x:v>
      </x:c>
      <x:c r="C89" s="147" t="str">
        <x:v>excluded</x:v>
      </x:c>
      <x:c r="D89" s="147" t="str">
        <x:v>Bảo hiểm tự chọn và các khoản phát sinh do thay đổi cá nhân.</x:v>
      </x:c>
      <x:c r="E89" s="147" t="str">
        <x:v>bi-x-circle</x:v>
      </x:c>
      <x:c r="F89" s="165" t="n">
        <x:v>8</x:v>
      </x:c>
    </x:row>
    <x:row r="90">
      <x:c r="A90" s="161" t="str">
        <x:v>INC-SCHHA012-01</x:v>
      </x:c>
      <x:c r="B90" s="147" t="str">
        <x:v>SCHHA012</x:v>
      </x:c>
      <x:c r="C90" s="147" t="str">
        <x:v>included</x:v>
      </x:c>
      <x:c r="D90" s="147" t="str">
        <x:v>Phương tiện di chuyển theo lịch trình.</x:v>
      </x:c>
      <x:c r="E90" s="147" t="str">
        <x:v>bi-check-circle</x:v>
      </x:c>
      <x:c r="F90" s="165" t="n">
        <x:v>1</x:v>
      </x:c>
    </x:row>
    <x:row r="91">
      <x:c r="A91" s="161" t="str">
        <x:v>INC-SCHHA012-02</x:v>
      </x:c>
      <x:c r="B91" s="147" t="str">
        <x:v>SCHHA012</x:v>
      </x:c>
      <x:c r="C91" s="147" t="str">
        <x:v>included</x:v>
      </x:c>
      <x:c r="D91" s="147" t="str">
        <x:v>Hướng dẫn viên đồng hành theo chương trình.</x:v>
      </x:c>
      <x:c r="E91" s="147" t="str">
        <x:v>bi-check-circle</x:v>
      </x:c>
      <x:c r="F91" s="165" t="n">
        <x:v>2</x:v>
      </x:c>
    </x:row>
    <x:row r="92">
      <x:c r="A92" s="161" t="str">
        <x:v>INC-SCHHA012-03</x:v>
      </x:c>
      <x:c r="B92" s="147" t="str">
        <x:v>SCHHA012</x:v>
      </x:c>
      <x:c r="C92" s="147" t="str">
        <x:v>included</x:v>
      </x:c>
      <x:c r="D92" s="147" t="str">
        <x:v>Vé tham quan và hoạt động được ghi rõ trong lịch trình.</x:v>
      </x:c>
      <x:c r="E92" s="147" t="str">
        <x:v>bi-check-circle</x:v>
      </x:c>
      <x:c r="F92" s="165" t="n">
        <x:v>3</x:v>
      </x:c>
    </x:row>
    <x:row r="93">
      <x:c r="A93" s="161" t="str">
        <x:v>INC-SCHHA012-04</x:v>
      </x:c>
      <x:c r="B93" s="147" t="str">
        <x:v>SCHHA012</x:v>
      </x:c>
      <x:c r="C93" s="147" t="str">
        <x:v>included</x:v>
      </x:c>
      <x:c r="D93" s="147" t="str">
        <x:v>Các bữa ăn được ghi trong chương trình tour.</x:v>
      </x:c>
      <x:c r="E93" s="147" t="str">
        <x:v>bi-check-circle</x:v>
      </x:c>
      <x:c r="F93" s="165" t="n">
        <x:v>4</x:v>
      </x:c>
    </x:row>
    <x:row r="94">
      <x:c r="A94" s="161" t="str">
        <x:v>INC-SCHHA012-05</x:v>
      </x:c>
      <x:c r="B94" s="147" t="str">
        <x:v>SCHHA012</x:v>
      </x:c>
      <x:c r="C94" s="147" t="str">
        <x:v>included</x:v>
      </x:c>
      <x:c r="D94" s="147" t="str">
        <x:v>Nước uống refill và hỗ trợ cơ bản trong chuyến đi.</x:v>
      </x:c>
      <x:c r="E94" s="147" t="str">
        <x:v>bi-check-circle</x:v>
      </x:c>
      <x:c r="F94" s="165" t="n">
        <x:v>5</x:v>
      </x:c>
    </x:row>
    <x:row r="95">
      <x:c r="A95" s="161" t="str">
        <x:v>INC-SCHHA012-06</x:v>
      </x:c>
      <x:c r="B95" s="147" t="str">
        <x:v>SCHHA012</x:v>
      </x:c>
      <x:c r="C95" s="147" t="str">
        <x:v>excluded</x:v>
      </x:c>
      <x:c r="D95" s="147" t="str">
        <x:v>Chi phí cá nhân và dịch vụ không ghi trong chương trình.</x:v>
      </x:c>
      <x:c r="E95" s="147" t="str">
        <x:v>bi-x-circle</x:v>
      </x:c>
      <x:c r="F95" s="165" t="n">
        <x:v>6</x:v>
      </x:c>
    </x:row>
    <x:row r="96">
      <x:c r="A96" s="161" t="str">
        <x:v>INC-SCHHA012-07</x:v>
      </x:c>
      <x:c r="B96" s="147" t="str">
        <x:v>SCHHA012</x:v>
      </x:c>
      <x:c r="C96" s="147" t="str">
        <x:v>excluded</x:v>
      </x:c>
      <x:c r="D96" s="147" t="str">
        <x:v>Phụ thu phòng riêng hoặc nâng hạng dịch vụ.</x:v>
      </x:c>
      <x:c r="E96" s="147" t="str">
        <x:v>bi-x-circle</x:v>
      </x:c>
      <x:c r="F96" s="165" t="n">
        <x:v>7</x:v>
      </x:c>
    </x:row>
    <x:row r="97">
      <x:c r="A97" s="166" t="str">
        <x:v>INC-SCHHA012-08</x:v>
      </x:c>
      <x:c r="B97" s="167" t="str">
        <x:v>SCHHA012</x:v>
      </x:c>
      <x:c r="C97" s="167" t="str">
        <x:v>excluded</x:v>
      </x:c>
      <x:c r="D97" s="167" t="str">
        <x:v>Bảo hiểm tự chọn và các khoản phát sinh do thay đổi cá nhân.</x:v>
      </x:c>
      <x:c r="E97" s="167" t="str">
        <x:v>bi-x-circle</x:v>
      </x:c>
      <x:c r="F97" s="171" t="n">
        <x:v>8</x:v>
      </x:c>
    </x:row>
  </x:sheetData>
  <x:dataValidations count="1">
    <x:dataValidation type="list" sqref="C2:C97">
      <x:formula1>"included,excluded"</x:formula1>
    </x:dataValidation>
  </x:dataValidations>
  <x:pageMargins left="0.7" right="0.7" top="0.75" bottom="0.75" header="0.3" footer="0.3"/>
  <x:tableParts count="1">
    <x:tablePart xmlns:r="http://schemas.openxmlformats.org/officeDocument/2006/relationships" r:id="R1b2a526980984f0c"/>
  </x:tableParts>
</x:worksheet>
</file>

<file path=xl/worksheets/sheet25.xml><?xml version="1.0" encoding="utf-8"?>
<x:worksheet xmlns:x="http://schemas.openxmlformats.org/spreadsheetml/2006/main">
  <x:sheetFormatPr defaultRowHeight="15"/>
  <x:cols>
    <x:col min="1" max="1" width="20" hidden="0" customWidth="1"/>
    <x:col min="2" max="2" width="14" hidden="0" customWidth="1"/>
    <x:col min="3" max="3" width="20" hidden="0" customWidth="1"/>
    <x:col min="4" max="4" width="24" hidden="0" customWidth="1"/>
    <x:col min="5" max="5" width="70" hidden="0" customWidth="1"/>
    <x:col min="6" max="6" width="11" hidden="0" customWidth="1"/>
    <x:col min="7" max="7" width="11" hidden="0" customWidth="1"/>
  </x:cols>
  <x:sheetData>
    <x:row r="1" ht="32" customHeight="1">
      <x:c r="A1" s="158" t="str">
        <x:v>ID_Policy</x:v>
      </x:c>
      <x:c r="B1" s="159" t="str">
        <x:v>ID_Schedule</x:v>
      </x:c>
      <x:c r="C1" s="159" t="str">
        <x:v>policy_type</x:v>
      </x:c>
      <x:c r="D1" s="159" t="str">
        <x:v>title</x:v>
      </x:c>
      <x:c r="E1" s="159" t="str">
        <x:v>content</x:v>
      </x:c>
      <x:c r="F1" s="159" t="str">
        <x:v>sort_order</x:v>
      </x:c>
      <x:c r="G1" s="160" t="str">
        <x:v>is_demo</x:v>
      </x:c>
    </x:row>
    <x:row r="2">
      <x:c r="A2" s="161" t="str">
        <x:v>POL-SCHPY001-01</x:v>
      </x:c>
      <x:c r="B2" s="147" t="str">
        <x:v>SCHPY001</x:v>
      </x:c>
      <x:c r="C2" s="147" t="str">
        <x:v>payment</x:v>
      </x:c>
      <x:c r="D2" s="147" t="str">
        <x:v>Thanh toán và đặt cọc</x:v>
      </x:c>
      <x:c r="E2" s="147" t="str">
        <x:v>Đặt cọc 30% để xác nhận chỗ. Số tiền còn lại được thanh toán theo thời hạn hiển thị trên booking.</x:v>
      </x:c>
      <x:c r="F2" s="147" t="n">
        <x:v>1</x:v>
      </x:c>
      <x:c r="G2" s="172" t="b">
        <x:v>1</x:v>
      </x:c>
    </x:row>
    <x:row r="3">
      <x:c r="A3" s="161" t="str">
        <x:v>POL-SCHPY001-02</x:v>
      </x:c>
      <x:c r="B3" s="147" t="str">
        <x:v>SCHPY001</x:v>
      </x:c>
      <x:c r="C3" s="147" t="str">
        <x:v>temporary_hold</x:v>
      </x:c>
      <x:c r="D3" s="147" t="str">
        <x:v>Giữ chỗ tạm thời</x:v>
      </x:c>
      <x:c r="E3" s="147" t="str">
        <x:v>Thời hạn giữ chỗ do hệ thống tính theo ngày khởi hành và tình trạng chỗ; không áp dụng cố định 24 giờ cho mọi tour.</x:v>
      </x:c>
      <x:c r="F3" s="147" t="n">
        <x:v>2</x:v>
      </x:c>
      <x:c r="G3" s="172" t="b">
        <x:v>1</x:v>
      </x:c>
    </x:row>
    <x:row r="4">
      <x:c r="A4" s="161" t="str">
        <x:v>POL-SCHPY001-03</x:v>
      </x:c>
      <x:c r="B4" s="147" t="str">
        <x:v>SCHPY001</x:v>
      </x:c>
      <x:c r="C4" s="147" t="str">
        <x:v>cancellation</x:v>
      </x:c>
      <x:c r="D4" s="147" t="str">
        <x:v>Hủy tour</x:v>
      </x:c>
      <x:c r="E4" s="147" t="str">
        <x:v>Chính sách hủy và mức hoàn tiền phụ thuộc thời điểm gửi yêu cầu so với ngày khởi hành.</x:v>
      </x:c>
      <x:c r="F4" s="147" t="n">
        <x:v>3</x:v>
      </x:c>
      <x:c r="G4" s="172" t="b">
        <x:v>1</x:v>
      </x:c>
    </x:row>
    <x:row r="5">
      <x:c r="A5" s="161" t="str">
        <x:v>POL-SCHPY001-04</x:v>
      </x:c>
      <x:c r="B5" s="147" t="str">
        <x:v>SCHPY001</x:v>
      </x:c>
      <x:c r="C5" s="147" t="str">
        <x:v>reschedule</x:v>
      </x:c>
      <x:c r="D5" s="147" t="str">
        <x:v>Đổi lịch</x:v>
      </x:c>
      <x:c r="E5" s="147" t="str">
        <x:v>Yêu cầu đổi lịch cần được gửi trước hạn và phụ thuộc số chỗ của đợt khởi hành mới.</x:v>
      </x:c>
      <x:c r="F5" s="147" t="n">
        <x:v>4</x:v>
      </x:c>
      <x:c r="G5" s="172" t="b">
        <x:v>1</x:v>
      </x:c>
    </x:row>
    <x:row r="6">
      <x:c r="A6" s="161" t="str">
        <x:v>POL-SCHPY001-05</x:v>
      </x:c>
      <x:c r="B6" s="147" t="str">
        <x:v>SCHPY001</x:v>
      </x:c>
      <x:c r="C6" s="147" t="str">
        <x:v>child</x:v>
      </x:c>
      <x:c r="D6" s="147" t="str">
        <x:v>Chính sách trẻ em</x:v>
      </x:c>
      <x:c r="E6" s="147" t="str">
        <x:v>Trẻ em 2–11 tuổi áp dụng giá mẫu bằng 75% giá người lớn; trẻ nhỏ dưới 2 tuổi chưa bao gồm dịch vụ riêng.</x:v>
      </x:c>
      <x:c r="F6" s="147" t="n">
        <x:v>5</x:v>
      </x:c>
      <x:c r="G6" s="172" t="b">
        <x:v>1</x:v>
      </x:c>
    </x:row>
    <x:row r="7">
      <x:c r="A7" s="161" t="str">
        <x:v>POL-SCHPY002-01</x:v>
      </x:c>
      <x:c r="B7" s="147" t="str">
        <x:v>SCHPY002</x:v>
      </x:c>
      <x:c r="C7" s="147" t="str">
        <x:v>payment</x:v>
      </x:c>
      <x:c r="D7" s="147" t="str">
        <x:v>Thanh toán và đặt cọc</x:v>
      </x:c>
      <x:c r="E7" s="147" t="str">
        <x:v>Đặt cọc 30% để xác nhận chỗ. Số tiền còn lại được thanh toán theo thời hạn hiển thị trên booking.</x:v>
      </x:c>
      <x:c r="F7" s="147" t="n">
        <x:v>1</x:v>
      </x:c>
      <x:c r="G7" s="172" t="b">
        <x:v>1</x:v>
      </x:c>
    </x:row>
    <x:row r="8">
      <x:c r="A8" s="161" t="str">
        <x:v>POL-SCHPY002-02</x:v>
      </x:c>
      <x:c r="B8" s="147" t="str">
        <x:v>SCHPY002</x:v>
      </x:c>
      <x:c r="C8" s="147" t="str">
        <x:v>temporary_hold</x:v>
      </x:c>
      <x:c r="D8" s="147" t="str">
        <x:v>Giữ chỗ tạm thời</x:v>
      </x:c>
      <x:c r="E8" s="147" t="str">
        <x:v>Thời hạn giữ chỗ do hệ thống tính theo ngày khởi hành và tình trạng chỗ; không áp dụng cố định 24 giờ cho mọi tour.</x:v>
      </x:c>
      <x:c r="F8" s="147" t="n">
        <x:v>2</x:v>
      </x:c>
      <x:c r="G8" s="172" t="b">
        <x:v>1</x:v>
      </x:c>
    </x:row>
    <x:row r="9">
      <x:c r="A9" s="161" t="str">
        <x:v>POL-SCHPY002-03</x:v>
      </x:c>
      <x:c r="B9" s="147" t="str">
        <x:v>SCHPY002</x:v>
      </x:c>
      <x:c r="C9" s="147" t="str">
        <x:v>cancellation</x:v>
      </x:c>
      <x:c r="D9" s="147" t="str">
        <x:v>Hủy tour</x:v>
      </x:c>
      <x:c r="E9" s="147" t="str">
        <x:v>Chính sách hủy và mức hoàn tiền phụ thuộc thời điểm gửi yêu cầu so với ngày khởi hành.</x:v>
      </x:c>
      <x:c r="F9" s="147" t="n">
        <x:v>3</x:v>
      </x:c>
      <x:c r="G9" s="172" t="b">
        <x:v>1</x:v>
      </x:c>
    </x:row>
    <x:row r="10">
      <x:c r="A10" s="161" t="str">
        <x:v>POL-SCHPY002-04</x:v>
      </x:c>
      <x:c r="B10" s="147" t="str">
        <x:v>SCHPY002</x:v>
      </x:c>
      <x:c r="C10" s="147" t="str">
        <x:v>reschedule</x:v>
      </x:c>
      <x:c r="D10" s="147" t="str">
        <x:v>Đổi lịch</x:v>
      </x:c>
      <x:c r="E10" s="147" t="str">
        <x:v>Yêu cầu đổi lịch cần được gửi trước hạn và phụ thuộc số chỗ của đợt khởi hành mới.</x:v>
      </x:c>
      <x:c r="F10" s="147" t="n">
        <x:v>4</x:v>
      </x:c>
      <x:c r="G10" s="172" t="b">
        <x:v>1</x:v>
      </x:c>
    </x:row>
    <x:row r="11">
      <x:c r="A11" s="161" t="str">
        <x:v>POL-SCHPY002-05</x:v>
      </x:c>
      <x:c r="B11" s="147" t="str">
        <x:v>SCHPY002</x:v>
      </x:c>
      <x:c r="C11" s="147" t="str">
        <x:v>child</x:v>
      </x:c>
      <x:c r="D11" s="147" t="str">
        <x:v>Chính sách trẻ em</x:v>
      </x:c>
      <x:c r="E11" s="147" t="str">
        <x:v>Trẻ em 2–11 tuổi áp dụng giá mẫu bằng 75% giá người lớn; trẻ nhỏ dưới 2 tuổi chưa bao gồm dịch vụ riêng.</x:v>
      </x:c>
      <x:c r="F11" s="147" t="n">
        <x:v>5</x:v>
      </x:c>
      <x:c r="G11" s="172" t="b">
        <x:v>1</x:v>
      </x:c>
    </x:row>
    <x:row r="12">
      <x:c r="A12" s="161" t="str">
        <x:v>POL-SCHPY003-01</x:v>
      </x:c>
      <x:c r="B12" s="147" t="str">
        <x:v>SCHPY003</x:v>
      </x:c>
      <x:c r="C12" s="147" t="str">
        <x:v>payment</x:v>
      </x:c>
      <x:c r="D12" s="147" t="str">
        <x:v>Thanh toán và đặt cọc</x:v>
      </x:c>
      <x:c r="E12" s="147" t="str">
        <x:v>Đặt cọc 30% để xác nhận chỗ. Số tiền còn lại được thanh toán theo thời hạn hiển thị trên booking.</x:v>
      </x:c>
      <x:c r="F12" s="147" t="n">
        <x:v>1</x:v>
      </x:c>
      <x:c r="G12" s="172" t="b">
        <x:v>1</x:v>
      </x:c>
    </x:row>
    <x:row r="13">
      <x:c r="A13" s="161" t="str">
        <x:v>POL-SCHPY003-02</x:v>
      </x:c>
      <x:c r="B13" s="147" t="str">
        <x:v>SCHPY003</x:v>
      </x:c>
      <x:c r="C13" s="147" t="str">
        <x:v>temporary_hold</x:v>
      </x:c>
      <x:c r="D13" s="147" t="str">
        <x:v>Giữ chỗ tạm thời</x:v>
      </x:c>
      <x:c r="E13" s="147" t="str">
        <x:v>Thời hạn giữ chỗ do hệ thống tính theo ngày khởi hành và tình trạng chỗ; không áp dụng cố định 24 giờ cho mọi tour.</x:v>
      </x:c>
      <x:c r="F13" s="147" t="n">
        <x:v>2</x:v>
      </x:c>
      <x:c r="G13" s="172" t="b">
        <x:v>1</x:v>
      </x:c>
    </x:row>
    <x:row r="14">
      <x:c r="A14" s="161" t="str">
        <x:v>POL-SCHPY003-03</x:v>
      </x:c>
      <x:c r="B14" s="147" t="str">
        <x:v>SCHPY003</x:v>
      </x:c>
      <x:c r="C14" s="147" t="str">
        <x:v>cancellation</x:v>
      </x:c>
      <x:c r="D14" s="147" t="str">
        <x:v>Hủy tour</x:v>
      </x:c>
      <x:c r="E14" s="147" t="str">
        <x:v>Chính sách hủy và mức hoàn tiền phụ thuộc thời điểm gửi yêu cầu so với ngày khởi hành.</x:v>
      </x:c>
      <x:c r="F14" s="147" t="n">
        <x:v>3</x:v>
      </x:c>
      <x:c r="G14" s="172" t="b">
        <x:v>1</x:v>
      </x:c>
    </x:row>
    <x:row r="15">
      <x:c r="A15" s="161" t="str">
        <x:v>POL-SCHPY003-04</x:v>
      </x:c>
      <x:c r="B15" s="147" t="str">
        <x:v>SCHPY003</x:v>
      </x:c>
      <x:c r="C15" s="147" t="str">
        <x:v>reschedule</x:v>
      </x:c>
      <x:c r="D15" s="147" t="str">
        <x:v>Đổi lịch</x:v>
      </x:c>
      <x:c r="E15" s="147" t="str">
        <x:v>Yêu cầu đổi lịch cần được gửi trước hạn và phụ thuộc số chỗ của đợt khởi hành mới.</x:v>
      </x:c>
      <x:c r="F15" s="147" t="n">
        <x:v>4</x:v>
      </x:c>
      <x:c r="G15" s="172" t="b">
        <x:v>1</x:v>
      </x:c>
    </x:row>
    <x:row r="16">
      <x:c r="A16" s="161" t="str">
        <x:v>POL-SCHPY003-05</x:v>
      </x:c>
      <x:c r="B16" s="147" t="str">
        <x:v>SCHPY003</x:v>
      </x:c>
      <x:c r="C16" s="147" t="str">
        <x:v>child</x:v>
      </x:c>
      <x:c r="D16" s="147" t="str">
        <x:v>Chính sách trẻ em</x:v>
      </x:c>
      <x:c r="E16" s="147" t="str">
        <x:v>Trẻ em 2–11 tuổi áp dụng giá mẫu bằng 75% giá người lớn; trẻ nhỏ dưới 2 tuổi chưa bao gồm dịch vụ riêng.</x:v>
      </x:c>
      <x:c r="F16" s="147" t="n">
        <x:v>5</x:v>
      </x:c>
      <x:c r="G16" s="172" t="b">
        <x:v>1</x:v>
      </x:c>
    </x:row>
    <x:row r="17">
      <x:c r="A17" s="161" t="str">
        <x:v>POL-SCHPY004-01</x:v>
      </x:c>
      <x:c r="B17" s="147" t="str">
        <x:v>SCHPY004</x:v>
      </x:c>
      <x:c r="C17" s="147" t="str">
        <x:v>payment</x:v>
      </x:c>
      <x:c r="D17" s="147" t="str">
        <x:v>Thanh toán và đặt cọc</x:v>
      </x:c>
      <x:c r="E17" s="147" t="str">
        <x:v>Đặt cọc 30% để xác nhận chỗ. Số tiền còn lại được thanh toán theo thời hạn hiển thị trên booking.</x:v>
      </x:c>
      <x:c r="F17" s="147" t="n">
        <x:v>1</x:v>
      </x:c>
      <x:c r="G17" s="172" t="b">
        <x:v>1</x:v>
      </x:c>
    </x:row>
    <x:row r="18">
      <x:c r="A18" s="161" t="str">
        <x:v>POL-SCHPY004-02</x:v>
      </x:c>
      <x:c r="B18" s="147" t="str">
        <x:v>SCHPY004</x:v>
      </x:c>
      <x:c r="C18" s="147" t="str">
        <x:v>temporary_hold</x:v>
      </x:c>
      <x:c r="D18" s="147" t="str">
        <x:v>Giữ chỗ tạm thời</x:v>
      </x:c>
      <x:c r="E18" s="147" t="str">
        <x:v>Thời hạn giữ chỗ do hệ thống tính theo ngày khởi hành và tình trạng chỗ; không áp dụng cố định 24 giờ cho mọi tour.</x:v>
      </x:c>
      <x:c r="F18" s="147" t="n">
        <x:v>2</x:v>
      </x:c>
      <x:c r="G18" s="172" t="b">
        <x:v>1</x:v>
      </x:c>
    </x:row>
    <x:row r="19">
      <x:c r="A19" s="161" t="str">
        <x:v>POL-SCHPY004-03</x:v>
      </x:c>
      <x:c r="B19" s="147" t="str">
        <x:v>SCHPY004</x:v>
      </x:c>
      <x:c r="C19" s="147" t="str">
        <x:v>cancellation</x:v>
      </x:c>
      <x:c r="D19" s="147" t="str">
        <x:v>Hủy tour</x:v>
      </x:c>
      <x:c r="E19" s="147" t="str">
        <x:v>Chính sách hủy và mức hoàn tiền phụ thuộc thời điểm gửi yêu cầu so với ngày khởi hành.</x:v>
      </x:c>
      <x:c r="F19" s="147" t="n">
        <x:v>3</x:v>
      </x:c>
      <x:c r="G19" s="172" t="b">
        <x:v>1</x:v>
      </x:c>
    </x:row>
    <x:row r="20">
      <x:c r="A20" s="161" t="str">
        <x:v>POL-SCHPY004-04</x:v>
      </x:c>
      <x:c r="B20" s="147" t="str">
        <x:v>SCHPY004</x:v>
      </x:c>
      <x:c r="C20" s="147" t="str">
        <x:v>reschedule</x:v>
      </x:c>
      <x:c r="D20" s="147" t="str">
        <x:v>Đổi lịch</x:v>
      </x:c>
      <x:c r="E20" s="147" t="str">
        <x:v>Yêu cầu đổi lịch cần được gửi trước hạn và phụ thuộc số chỗ của đợt khởi hành mới.</x:v>
      </x:c>
      <x:c r="F20" s="147" t="n">
        <x:v>4</x:v>
      </x:c>
      <x:c r="G20" s="172" t="b">
        <x:v>1</x:v>
      </x:c>
    </x:row>
    <x:row r="21">
      <x:c r="A21" s="161" t="str">
        <x:v>POL-SCHPY004-05</x:v>
      </x:c>
      <x:c r="B21" s="147" t="str">
        <x:v>SCHPY004</x:v>
      </x:c>
      <x:c r="C21" s="147" t="str">
        <x:v>child</x:v>
      </x:c>
      <x:c r="D21" s="147" t="str">
        <x:v>Chính sách trẻ em</x:v>
      </x:c>
      <x:c r="E21" s="147" t="str">
        <x:v>Trẻ em 2–11 tuổi áp dụng giá mẫu bằng 75% giá người lớn; trẻ nhỏ dưới 2 tuổi chưa bao gồm dịch vụ riêng.</x:v>
      </x:c>
      <x:c r="F21" s="147" t="n">
        <x:v>5</x:v>
      </x:c>
      <x:c r="G21" s="172" t="b">
        <x:v>1</x:v>
      </x:c>
    </x:row>
    <x:row r="22">
      <x:c r="A22" s="161" t="str">
        <x:v>POL-SCHDL005-01</x:v>
      </x:c>
      <x:c r="B22" s="147" t="str">
        <x:v>SCHDL005</x:v>
      </x:c>
      <x:c r="C22" s="147" t="str">
        <x:v>payment</x:v>
      </x:c>
      <x:c r="D22" s="147" t="str">
        <x:v>Thanh toán và đặt cọc</x:v>
      </x:c>
      <x:c r="E22" s="147" t="str">
        <x:v>Đặt cọc 30% để xác nhận chỗ. Số tiền còn lại được thanh toán theo thời hạn hiển thị trên booking.</x:v>
      </x:c>
      <x:c r="F22" s="147" t="n">
        <x:v>1</x:v>
      </x:c>
      <x:c r="G22" s="172" t="b">
        <x:v>1</x:v>
      </x:c>
    </x:row>
    <x:row r="23">
      <x:c r="A23" s="161" t="str">
        <x:v>POL-SCHDL005-02</x:v>
      </x:c>
      <x:c r="B23" s="147" t="str">
        <x:v>SCHDL005</x:v>
      </x:c>
      <x:c r="C23" s="147" t="str">
        <x:v>temporary_hold</x:v>
      </x:c>
      <x:c r="D23" s="147" t="str">
        <x:v>Giữ chỗ tạm thời</x:v>
      </x:c>
      <x:c r="E23" s="147" t="str">
        <x:v>Thời hạn giữ chỗ do hệ thống tính theo ngày khởi hành và tình trạng chỗ; không áp dụng cố định 24 giờ cho mọi tour.</x:v>
      </x:c>
      <x:c r="F23" s="147" t="n">
        <x:v>2</x:v>
      </x:c>
      <x:c r="G23" s="172" t="b">
        <x:v>1</x:v>
      </x:c>
    </x:row>
    <x:row r="24">
      <x:c r="A24" s="161" t="str">
        <x:v>POL-SCHDL005-03</x:v>
      </x:c>
      <x:c r="B24" s="147" t="str">
        <x:v>SCHDL005</x:v>
      </x:c>
      <x:c r="C24" s="147" t="str">
        <x:v>cancellation</x:v>
      </x:c>
      <x:c r="D24" s="147" t="str">
        <x:v>Hủy tour</x:v>
      </x:c>
      <x:c r="E24" s="147" t="str">
        <x:v>Chính sách hủy và mức hoàn tiền phụ thuộc thời điểm gửi yêu cầu so với ngày khởi hành.</x:v>
      </x:c>
      <x:c r="F24" s="147" t="n">
        <x:v>3</x:v>
      </x:c>
      <x:c r="G24" s="172" t="b">
        <x:v>1</x:v>
      </x:c>
    </x:row>
    <x:row r="25">
      <x:c r="A25" s="161" t="str">
        <x:v>POL-SCHDL005-04</x:v>
      </x:c>
      <x:c r="B25" s="147" t="str">
        <x:v>SCHDL005</x:v>
      </x:c>
      <x:c r="C25" s="147" t="str">
        <x:v>reschedule</x:v>
      </x:c>
      <x:c r="D25" s="147" t="str">
        <x:v>Đổi lịch</x:v>
      </x:c>
      <x:c r="E25" s="147" t="str">
        <x:v>Yêu cầu đổi lịch cần được gửi trước hạn và phụ thuộc số chỗ của đợt khởi hành mới.</x:v>
      </x:c>
      <x:c r="F25" s="147" t="n">
        <x:v>4</x:v>
      </x:c>
      <x:c r="G25" s="172" t="b">
        <x:v>1</x:v>
      </x:c>
    </x:row>
    <x:row r="26">
      <x:c r="A26" s="161" t="str">
        <x:v>POL-SCHDL005-05</x:v>
      </x:c>
      <x:c r="B26" s="147" t="str">
        <x:v>SCHDL005</x:v>
      </x:c>
      <x:c r="C26" s="147" t="str">
        <x:v>child</x:v>
      </x:c>
      <x:c r="D26" s="147" t="str">
        <x:v>Chính sách trẻ em</x:v>
      </x:c>
      <x:c r="E26" s="147" t="str">
        <x:v>Trẻ em 2–11 tuổi áp dụng giá mẫu bằng 75% giá người lớn; trẻ nhỏ dưới 2 tuổi chưa bao gồm dịch vụ riêng.</x:v>
      </x:c>
      <x:c r="F26" s="147" t="n">
        <x:v>5</x:v>
      </x:c>
      <x:c r="G26" s="172" t="b">
        <x:v>1</x:v>
      </x:c>
    </x:row>
    <x:row r="27">
      <x:c r="A27" s="161" t="str">
        <x:v>POL-SCHDL006-01</x:v>
      </x:c>
      <x:c r="B27" s="147" t="str">
        <x:v>SCHDL006</x:v>
      </x:c>
      <x:c r="C27" s="147" t="str">
        <x:v>payment</x:v>
      </x:c>
      <x:c r="D27" s="147" t="str">
        <x:v>Thanh toán và đặt cọc</x:v>
      </x:c>
      <x:c r="E27" s="147" t="str">
        <x:v>Đặt cọc 30% để xác nhận chỗ. Số tiền còn lại được thanh toán theo thời hạn hiển thị trên booking.</x:v>
      </x:c>
      <x:c r="F27" s="147" t="n">
        <x:v>1</x:v>
      </x:c>
      <x:c r="G27" s="172" t="b">
        <x:v>1</x:v>
      </x:c>
    </x:row>
    <x:row r="28">
      <x:c r="A28" s="161" t="str">
        <x:v>POL-SCHDL006-02</x:v>
      </x:c>
      <x:c r="B28" s="147" t="str">
        <x:v>SCHDL006</x:v>
      </x:c>
      <x:c r="C28" s="147" t="str">
        <x:v>temporary_hold</x:v>
      </x:c>
      <x:c r="D28" s="147" t="str">
        <x:v>Giữ chỗ tạm thời</x:v>
      </x:c>
      <x:c r="E28" s="147" t="str">
        <x:v>Thời hạn giữ chỗ do hệ thống tính theo ngày khởi hành và tình trạng chỗ; không áp dụng cố định 24 giờ cho mọi tour.</x:v>
      </x:c>
      <x:c r="F28" s="147" t="n">
        <x:v>2</x:v>
      </x:c>
      <x:c r="G28" s="172" t="b">
        <x:v>1</x:v>
      </x:c>
    </x:row>
    <x:row r="29">
      <x:c r="A29" s="161" t="str">
        <x:v>POL-SCHDL006-03</x:v>
      </x:c>
      <x:c r="B29" s="147" t="str">
        <x:v>SCHDL006</x:v>
      </x:c>
      <x:c r="C29" s="147" t="str">
        <x:v>cancellation</x:v>
      </x:c>
      <x:c r="D29" s="147" t="str">
        <x:v>Hủy tour</x:v>
      </x:c>
      <x:c r="E29" s="147" t="str">
        <x:v>Chính sách hủy và mức hoàn tiền phụ thuộc thời điểm gửi yêu cầu so với ngày khởi hành.</x:v>
      </x:c>
      <x:c r="F29" s="147" t="n">
        <x:v>3</x:v>
      </x:c>
      <x:c r="G29" s="172" t="b">
        <x:v>1</x:v>
      </x:c>
    </x:row>
    <x:row r="30">
      <x:c r="A30" s="161" t="str">
        <x:v>POL-SCHDL006-04</x:v>
      </x:c>
      <x:c r="B30" s="147" t="str">
        <x:v>SCHDL006</x:v>
      </x:c>
      <x:c r="C30" s="147" t="str">
        <x:v>reschedule</x:v>
      </x:c>
      <x:c r="D30" s="147" t="str">
        <x:v>Đổi lịch</x:v>
      </x:c>
      <x:c r="E30" s="147" t="str">
        <x:v>Yêu cầu đổi lịch cần được gửi trước hạn và phụ thuộc số chỗ của đợt khởi hành mới.</x:v>
      </x:c>
      <x:c r="F30" s="147" t="n">
        <x:v>4</x:v>
      </x:c>
      <x:c r="G30" s="172" t="b">
        <x:v>1</x:v>
      </x:c>
    </x:row>
    <x:row r="31">
      <x:c r="A31" s="161" t="str">
        <x:v>POL-SCHDL006-05</x:v>
      </x:c>
      <x:c r="B31" s="147" t="str">
        <x:v>SCHDL006</x:v>
      </x:c>
      <x:c r="C31" s="147" t="str">
        <x:v>child</x:v>
      </x:c>
      <x:c r="D31" s="147" t="str">
        <x:v>Chính sách trẻ em</x:v>
      </x:c>
      <x:c r="E31" s="147" t="str">
        <x:v>Trẻ em 2–11 tuổi áp dụng giá mẫu bằng 75% giá người lớn; trẻ nhỏ dưới 2 tuổi chưa bao gồm dịch vụ riêng.</x:v>
      </x:c>
      <x:c r="F31" s="147" t="n">
        <x:v>5</x:v>
      </x:c>
      <x:c r="G31" s="172" t="b">
        <x:v>1</x:v>
      </x:c>
    </x:row>
    <x:row r="32">
      <x:c r="A32" s="161" t="str">
        <x:v>POL-SCHDL007-01</x:v>
      </x:c>
      <x:c r="B32" s="147" t="str">
        <x:v>SCHDL007</x:v>
      </x:c>
      <x:c r="C32" s="147" t="str">
        <x:v>payment</x:v>
      </x:c>
      <x:c r="D32" s="147" t="str">
        <x:v>Thanh toán và đặt cọc</x:v>
      </x:c>
      <x:c r="E32" s="147" t="str">
        <x:v>Đặt cọc 30% để xác nhận chỗ. Số tiền còn lại được thanh toán theo thời hạn hiển thị trên booking.</x:v>
      </x:c>
      <x:c r="F32" s="147" t="n">
        <x:v>1</x:v>
      </x:c>
      <x:c r="G32" s="172" t="b">
        <x:v>1</x:v>
      </x:c>
    </x:row>
    <x:row r="33">
      <x:c r="A33" s="161" t="str">
        <x:v>POL-SCHDL007-02</x:v>
      </x:c>
      <x:c r="B33" s="147" t="str">
        <x:v>SCHDL007</x:v>
      </x:c>
      <x:c r="C33" s="147" t="str">
        <x:v>temporary_hold</x:v>
      </x:c>
      <x:c r="D33" s="147" t="str">
        <x:v>Giữ chỗ tạm thời</x:v>
      </x:c>
      <x:c r="E33" s="147" t="str">
        <x:v>Thời hạn giữ chỗ do hệ thống tính theo ngày khởi hành và tình trạng chỗ; không áp dụng cố định 24 giờ cho mọi tour.</x:v>
      </x:c>
      <x:c r="F33" s="147" t="n">
        <x:v>2</x:v>
      </x:c>
      <x:c r="G33" s="172" t="b">
        <x:v>1</x:v>
      </x:c>
    </x:row>
    <x:row r="34">
      <x:c r="A34" s="161" t="str">
        <x:v>POL-SCHDL007-03</x:v>
      </x:c>
      <x:c r="B34" s="147" t="str">
        <x:v>SCHDL007</x:v>
      </x:c>
      <x:c r="C34" s="147" t="str">
        <x:v>cancellation</x:v>
      </x:c>
      <x:c r="D34" s="147" t="str">
        <x:v>Hủy tour</x:v>
      </x:c>
      <x:c r="E34" s="147" t="str">
        <x:v>Chính sách hủy và mức hoàn tiền phụ thuộc thời điểm gửi yêu cầu so với ngày khởi hành.</x:v>
      </x:c>
      <x:c r="F34" s="147" t="n">
        <x:v>3</x:v>
      </x:c>
      <x:c r="G34" s="172" t="b">
        <x:v>1</x:v>
      </x:c>
    </x:row>
    <x:row r="35">
      <x:c r="A35" s="161" t="str">
        <x:v>POL-SCHDL007-04</x:v>
      </x:c>
      <x:c r="B35" s="147" t="str">
        <x:v>SCHDL007</x:v>
      </x:c>
      <x:c r="C35" s="147" t="str">
        <x:v>reschedule</x:v>
      </x:c>
      <x:c r="D35" s="147" t="str">
        <x:v>Đổi lịch</x:v>
      </x:c>
      <x:c r="E35" s="147" t="str">
        <x:v>Yêu cầu đổi lịch cần được gửi trước hạn và phụ thuộc số chỗ của đợt khởi hành mới.</x:v>
      </x:c>
      <x:c r="F35" s="147" t="n">
        <x:v>4</x:v>
      </x:c>
      <x:c r="G35" s="172" t="b">
        <x:v>1</x:v>
      </x:c>
    </x:row>
    <x:row r="36">
      <x:c r="A36" s="161" t="str">
        <x:v>POL-SCHDL007-05</x:v>
      </x:c>
      <x:c r="B36" s="147" t="str">
        <x:v>SCHDL007</x:v>
      </x:c>
      <x:c r="C36" s="147" t="str">
        <x:v>child</x:v>
      </x:c>
      <x:c r="D36" s="147" t="str">
        <x:v>Chính sách trẻ em</x:v>
      </x:c>
      <x:c r="E36" s="147" t="str">
        <x:v>Trẻ em 2–11 tuổi áp dụng giá mẫu bằng 75% giá người lớn; trẻ nhỏ dưới 2 tuổi chưa bao gồm dịch vụ riêng.</x:v>
      </x:c>
      <x:c r="F36" s="147" t="n">
        <x:v>5</x:v>
      </x:c>
      <x:c r="G36" s="172" t="b">
        <x:v>1</x:v>
      </x:c>
    </x:row>
    <x:row r="37">
      <x:c r="A37" s="161" t="str">
        <x:v>POL-SCHDL008-01</x:v>
      </x:c>
      <x:c r="B37" s="147" t="str">
        <x:v>SCHDL008</x:v>
      </x:c>
      <x:c r="C37" s="147" t="str">
        <x:v>payment</x:v>
      </x:c>
      <x:c r="D37" s="147" t="str">
        <x:v>Thanh toán và đặt cọc</x:v>
      </x:c>
      <x:c r="E37" s="147" t="str">
        <x:v>Đặt cọc 30% để xác nhận chỗ. Số tiền còn lại được thanh toán theo thời hạn hiển thị trên booking.</x:v>
      </x:c>
      <x:c r="F37" s="147" t="n">
        <x:v>1</x:v>
      </x:c>
      <x:c r="G37" s="172" t="b">
        <x:v>1</x:v>
      </x:c>
    </x:row>
    <x:row r="38">
      <x:c r="A38" s="161" t="str">
        <x:v>POL-SCHDL008-02</x:v>
      </x:c>
      <x:c r="B38" s="147" t="str">
        <x:v>SCHDL008</x:v>
      </x:c>
      <x:c r="C38" s="147" t="str">
        <x:v>temporary_hold</x:v>
      </x:c>
      <x:c r="D38" s="147" t="str">
        <x:v>Giữ chỗ tạm thời</x:v>
      </x:c>
      <x:c r="E38" s="147" t="str">
        <x:v>Thời hạn giữ chỗ do hệ thống tính theo ngày khởi hành và tình trạng chỗ; không áp dụng cố định 24 giờ cho mọi tour.</x:v>
      </x:c>
      <x:c r="F38" s="147" t="n">
        <x:v>2</x:v>
      </x:c>
      <x:c r="G38" s="172" t="b">
        <x:v>1</x:v>
      </x:c>
    </x:row>
    <x:row r="39">
      <x:c r="A39" s="161" t="str">
        <x:v>POL-SCHDL008-03</x:v>
      </x:c>
      <x:c r="B39" s="147" t="str">
        <x:v>SCHDL008</x:v>
      </x:c>
      <x:c r="C39" s="147" t="str">
        <x:v>cancellation</x:v>
      </x:c>
      <x:c r="D39" s="147" t="str">
        <x:v>Hủy tour</x:v>
      </x:c>
      <x:c r="E39" s="147" t="str">
        <x:v>Chính sách hủy và mức hoàn tiền phụ thuộc thời điểm gửi yêu cầu so với ngày khởi hành.</x:v>
      </x:c>
      <x:c r="F39" s="147" t="n">
        <x:v>3</x:v>
      </x:c>
      <x:c r="G39" s="172" t="b">
        <x:v>1</x:v>
      </x:c>
    </x:row>
    <x:row r="40">
      <x:c r="A40" s="161" t="str">
        <x:v>POL-SCHDL008-04</x:v>
      </x:c>
      <x:c r="B40" s="147" t="str">
        <x:v>SCHDL008</x:v>
      </x:c>
      <x:c r="C40" s="147" t="str">
        <x:v>reschedule</x:v>
      </x:c>
      <x:c r="D40" s="147" t="str">
        <x:v>Đổi lịch</x:v>
      </x:c>
      <x:c r="E40" s="147" t="str">
        <x:v>Yêu cầu đổi lịch cần được gửi trước hạn và phụ thuộc số chỗ của đợt khởi hành mới.</x:v>
      </x:c>
      <x:c r="F40" s="147" t="n">
        <x:v>4</x:v>
      </x:c>
      <x:c r="G40" s="172" t="b">
        <x:v>1</x:v>
      </x:c>
    </x:row>
    <x:row r="41">
      <x:c r="A41" s="161" t="str">
        <x:v>POL-SCHDL008-05</x:v>
      </x:c>
      <x:c r="B41" s="147" t="str">
        <x:v>SCHDL008</x:v>
      </x:c>
      <x:c r="C41" s="147" t="str">
        <x:v>child</x:v>
      </x:c>
      <x:c r="D41" s="147" t="str">
        <x:v>Chính sách trẻ em</x:v>
      </x:c>
      <x:c r="E41" s="147" t="str">
        <x:v>Trẻ em 2–11 tuổi áp dụng giá mẫu bằng 75% giá người lớn; trẻ nhỏ dưới 2 tuổi chưa bao gồm dịch vụ riêng.</x:v>
      </x:c>
      <x:c r="F41" s="147" t="n">
        <x:v>5</x:v>
      </x:c>
      <x:c r="G41" s="172" t="b">
        <x:v>1</x:v>
      </x:c>
    </x:row>
    <x:row r="42">
      <x:c r="A42" s="161" t="str">
        <x:v>POL-SCHDN009-01</x:v>
      </x:c>
      <x:c r="B42" s="147" t="str">
        <x:v>SCHDN009</x:v>
      </x:c>
      <x:c r="C42" s="147" t="str">
        <x:v>payment</x:v>
      </x:c>
      <x:c r="D42" s="147" t="str">
        <x:v>Thanh toán và đặt cọc</x:v>
      </x:c>
      <x:c r="E42" s="147" t="str">
        <x:v>Đặt cọc 30% để xác nhận chỗ. Số tiền còn lại được thanh toán theo thời hạn hiển thị trên booking.</x:v>
      </x:c>
      <x:c r="F42" s="147" t="n">
        <x:v>1</x:v>
      </x:c>
      <x:c r="G42" s="172" t="b">
        <x:v>1</x:v>
      </x:c>
    </x:row>
    <x:row r="43">
      <x:c r="A43" s="161" t="str">
        <x:v>POL-SCHDN009-02</x:v>
      </x:c>
      <x:c r="B43" s="147" t="str">
        <x:v>SCHDN009</x:v>
      </x:c>
      <x:c r="C43" s="147" t="str">
        <x:v>temporary_hold</x:v>
      </x:c>
      <x:c r="D43" s="147" t="str">
        <x:v>Giữ chỗ tạm thời</x:v>
      </x:c>
      <x:c r="E43" s="147" t="str">
        <x:v>Thời hạn giữ chỗ do hệ thống tính theo ngày khởi hành và tình trạng chỗ; không áp dụng cố định 24 giờ cho mọi tour.</x:v>
      </x:c>
      <x:c r="F43" s="147" t="n">
        <x:v>2</x:v>
      </x:c>
      <x:c r="G43" s="172" t="b">
        <x:v>1</x:v>
      </x:c>
    </x:row>
    <x:row r="44">
      <x:c r="A44" s="161" t="str">
        <x:v>POL-SCHDN009-03</x:v>
      </x:c>
      <x:c r="B44" s="147" t="str">
        <x:v>SCHDN009</x:v>
      </x:c>
      <x:c r="C44" s="147" t="str">
        <x:v>cancellation</x:v>
      </x:c>
      <x:c r="D44" s="147" t="str">
        <x:v>Hủy tour</x:v>
      </x:c>
      <x:c r="E44" s="147" t="str">
        <x:v>Chính sách hủy và mức hoàn tiền phụ thuộc thời điểm gửi yêu cầu so với ngày khởi hành.</x:v>
      </x:c>
      <x:c r="F44" s="147" t="n">
        <x:v>3</x:v>
      </x:c>
      <x:c r="G44" s="172" t="b">
        <x:v>1</x:v>
      </x:c>
    </x:row>
    <x:row r="45">
      <x:c r="A45" s="161" t="str">
        <x:v>POL-SCHDN009-04</x:v>
      </x:c>
      <x:c r="B45" s="147" t="str">
        <x:v>SCHDN009</x:v>
      </x:c>
      <x:c r="C45" s="147" t="str">
        <x:v>reschedule</x:v>
      </x:c>
      <x:c r="D45" s="147" t="str">
        <x:v>Đổi lịch</x:v>
      </x:c>
      <x:c r="E45" s="147" t="str">
        <x:v>Yêu cầu đổi lịch cần được gửi trước hạn và phụ thuộc số chỗ của đợt khởi hành mới.</x:v>
      </x:c>
      <x:c r="F45" s="147" t="n">
        <x:v>4</x:v>
      </x:c>
      <x:c r="G45" s="172" t="b">
        <x:v>1</x:v>
      </x:c>
    </x:row>
    <x:row r="46">
      <x:c r="A46" s="161" t="str">
        <x:v>POL-SCHDN009-05</x:v>
      </x:c>
      <x:c r="B46" s="147" t="str">
        <x:v>SCHDN009</x:v>
      </x:c>
      <x:c r="C46" s="147" t="str">
        <x:v>child</x:v>
      </x:c>
      <x:c r="D46" s="147" t="str">
        <x:v>Chính sách trẻ em</x:v>
      </x:c>
      <x:c r="E46" s="147" t="str">
        <x:v>Trẻ em 2–11 tuổi áp dụng giá mẫu bằng 75% giá người lớn; trẻ nhỏ dưới 2 tuổi chưa bao gồm dịch vụ riêng.</x:v>
      </x:c>
      <x:c r="F46" s="147" t="n">
        <x:v>5</x:v>
      </x:c>
      <x:c r="G46" s="172" t="b">
        <x:v>1</x:v>
      </x:c>
    </x:row>
    <x:row r="47">
      <x:c r="A47" s="161" t="str">
        <x:v>POL-SCHDN010-01</x:v>
      </x:c>
      <x:c r="B47" s="147" t="str">
        <x:v>SCHDN010</x:v>
      </x:c>
      <x:c r="C47" s="147" t="str">
        <x:v>payment</x:v>
      </x:c>
      <x:c r="D47" s="147" t="str">
        <x:v>Thanh toán và đặt cọc</x:v>
      </x:c>
      <x:c r="E47" s="147" t="str">
        <x:v>Đặt cọc 30% để xác nhận chỗ. Số tiền còn lại được thanh toán theo thời hạn hiển thị trên booking.</x:v>
      </x:c>
      <x:c r="F47" s="147" t="n">
        <x:v>1</x:v>
      </x:c>
      <x:c r="G47" s="172" t="b">
        <x:v>1</x:v>
      </x:c>
    </x:row>
    <x:row r="48">
      <x:c r="A48" s="161" t="str">
        <x:v>POL-SCHDN010-02</x:v>
      </x:c>
      <x:c r="B48" s="147" t="str">
        <x:v>SCHDN010</x:v>
      </x:c>
      <x:c r="C48" s="147" t="str">
        <x:v>temporary_hold</x:v>
      </x:c>
      <x:c r="D48" s="147" t="str">
        <x:v>Giữ chỗ tạm thời</x:v>
      </x:c>
      <x:c r="E48" s="147" t="str">
        <x:v>Thời hạn giữ chỗ do hệ thống tính theo ngày khởi hành và tình trạng chỗ; không áp dụng cố định 24 giờ cho mọi tour.</x:v>
      </x:c>
      <x:c r="F48" s="147" t="n">
        <x:v>2</x:v>
      </x:c>
      <x:c r="G48" s="172" t="b">
        <x:v>1</x:v>
      </x:c>
    </x:row>
    <x:row r="49">
      <x:c r="A49" s="161" t="str">
        <x:v>POL-SCHDN010-03</x:v>
      </x:c>
      <x:c r="B49" s="147" t="str">
        <x:v>SCHDN010</x:v>
      </x:c>
      <x:c r="C49" s="147" t="str">
        <x:v>cancellation</x:v>
      </x:c>
      <x:c r="D49" s="147" t="str">
        <x:v>Hủy tour</x:v>
      </x:c>
      <x:c r="E49" s="147" t="str">
        <x:v>Chính sách hủy và mức hoàn tiền phụ thuộc thời điểm gửi yêu cầu so với ngày khởi hành.</x:v>
      </x:c>
      <x:c r="F49" s="147" t="n">
        <x:v>3</x:v>
      </x:c>
      <x:c r="G49" s="172" t="b">
        <x:v>1</x:v>
      </x:c>
    </x:row>
    <x:row r="50">
      <x:c r="A50" s="161" t="str">
        <x:v>POL-SCHDN010-04</x:v>
      </x:c>
      <x:c r="B50" s="147" t="str">
        <x:v>SCHDN010</x:v>
      </x:c>
      <x:c r="C50" s="147" t="str">
        <x:v>reschedule</x:v>
      </x:c>
      <x:c r="D50" s="147" t="str">
        <x:v>Đổi lịch</x:v>
      </x:c>
      <x:c r="E50" s="147" t="str">
        <x:v>Yêu cầu đổi lịch cần được gửi trước hạn và phụ thuộc số chỗ của đợt khởi hành mới.</x:v>
      </x:c>
      <x:c r="F50" s="147" t="n">
        <x:v>4</x:v>
      </x:c>
      <x:c r="G50" s="172" t="b">
        <x:v>1</x:v>
      </x:c>
    </x:row>
    <x:row r="51">
      <x:c r="A51" s="161" t="str">
        <x:v>POL-SCHDN010-05</x:v>
      </x:c>
      <x:c r="B51" s="147" t="str">
        <x:v>SCHDN010</x:v>
      </x:c>
      <x:c r="C51" s="147" t="str">
        <x:v>child</x:v>
      </x:c>
      <x:c r="D51" s="147" t="str">
        <x:v>Chính sách trẻ em</x:v>
      </x:c>
      <x:c r="E51" s="147" t="str">
        <x:v>Trẻ em 2–11 tuổi áp dụng giá mẫu bằng 75% giá người lớn; trẻ nhỏ dưới 2 tuổi chưa bao gồm dịch vụ riêng.</x:v>
      </x:c>
      <x:c r="F51" s="147" t="n">
        <x:v>5</x:v>
      </x:c>
      <x:c r="G51" s="172" t="b">
        <x:v>1</x:v>
      </x:c>
    </x:row>
    <x:row r="52">
      <x:c r="A52" s="161" t="str">
        <x:v>POL-SCHHA011-01</x:v>
      </x:c>
      <x:c r="B52" s="147" t="str">
        <x:v>SCHHA011</x:v>
      </x:c>
      <x:c r="C52" s="147" t="str">
        <x:v>payment</x:v>
      </x:c>
      <x:c r="D52" s="147" t="str">
        <x:v>Thanh toán và đặt cọc</x:v>
      </x:c>
      <x:c r="E52" s="147" t="str">
        <x:v>Đặt cọc 30% để xác nhận chỗ. Số tiền còn lại được thanh toán theo thời hạn hiển thị trên booking.</x:v>
      </x:c>
      <x:c r="F52" s="147" t="n">
        <x:v>1</x:v>
      </x:c>
      <x:c r="G52" s="172" t="b">
        <x:v>1</x:v>
      </x:c>
    </x:row>
    <x:row r="53">
      <x:c r="A53" s="161" t="str">
        <x:v>POL-SCHHA011-02</x:v>
      </x:c>
      <x:c r="B53" s="147" t="str">
        <x:v>SCHHA011</x:v>
      </x:c>
      <x:c r="C53" s="147" t="str">
        <x:v>temporary_hold</x:v>
      </x:c>
      <x:c r="D53" s="147" t="str">
        <x:v>Giữ chỗ tạm thời</x:v>
      </x:c>
      <x:c r="E53" s="147" t="str">
        <x:v>Thời hạn giữ chỗ do hệ thống tính theo ngày khởi hành và tình trạng chỗ; không áp dụng cố định 24 giờ cho mọi tour.</x:v>
      </x:c>
      <x:c r="F53" s="147" t="n">
        <x:v>2</x:v>
      </x:c>
      <x:c r="G53" s="172" t="b">
        <x:v>1</x:v>
      </x:c>
    </x:row>
    <x:row r="54">
      <x:c r="A54" s="161" t="str">
        <x:v>POL-SCHHA011-03</x:v>
      </x:c>
      <x:c r="B54" s="147" t="str">
        <x:v>SCHHA011</x:v>
      </x:c>
      <x:c r="C54" s="147" t="str">
        <x:v>cancellation</x:v>
      </x:c>
      <x:c r="D54" s="147" t="str">
        <x:v>Hủy tour</x:v>
      </x:c>
      <x:c r="E54" s="147" t="str">
        <x:v>Chính sách hủy và mức hoàn tiền phụ thuộc thời điểm gửi yêu cầu so với ngày khởi hành.</x:v>
      </x:c>
      <x:c r="F54" s="147" t="n">
        <x:v>3</x:v>
      </x:c>
      <x:c r="G54" s="172" t="b">
        <x:v>1</x:v>
      </x:c>
    </x:row>
    <x:row r="55">
      <x:c r="A55" s="161" t="str">
        <x:v>POL-SCHHA011-04</x:v>
      </x:c>
      <x:c r="B55" s="147" t="str">
        <x:v>SCHHA011</x:v>
      </x:c>
      <x:c r="C55" s="147" t="str">
        <x:v>reschedule</x:v>
      </x:c>
      <x:c r="D55" s="147" t="str">
        <x:v>Đổi lịch</x:v>
      </x:c>
      <x:c r="E55" s="147" t="str">
        <x:v>Yêu cầu đổi lịch cần được gửi trước hạn và phụ thuộc số chỗ của đợt khởi hành mới.</x:v>
      </x:c>
      <x:c r="F55" s="147" t="n">
        <x:v>4</x:v>
      </x:c>
      <x:c r="G55" s="172" t="b">
        <x:v>1</x:v>
      </x:c>
    </x:row>
    <x:row r="56">
      <x:c r="A56" s="161" t="str">
        <x:v>POL-SCHHA011-05</x:v>
      </x:c>
      <x:c r="B56" s="147" t="str">
        <x:v>SCHHA011</x:v>
      </x:c>
      <x:c r="C56" s="147" t="str">
        <x:v>child</x:v>
      </x:c>
      <x:c r="D56" s="147" t="str">
        <x:v>Chính sách trẻ em</x:v>
      </x:c>
      <x:c r="E56" s="147" t="str">
        <x:v>Trẻ em 2–11 tuổi áp dụng giá mẫu bằng 75% giá người lớn; trẻ nhỏ dưới 2 tuổi chưa bao gồm dịch vụ riêng.</x:v>
      </x:c>
      <x:c r="F56" s="147" t="n">
        <x:v>5</x:v>
      </x:c>
      <x:c r="G56" s="172" t="b">
        <x:v>1</x:v>
      </x:c>
    </x:row>
    <x:row r="57">
      <x:c r="A57" s="161" t="str">
        <x:v>POL-SCHHA012-01</x:v>
      </x:c>
      <x:c r="B57" s="147" t="str">
        <x:v>SCHHA012</x:v>
      </x:c>
      <x:c r="C57" s="147" t="str">
        <x:v>payment</x:v>
      </x:c>
      <x:c r="D57" s="147" t="str">
        <x:v>Thanh toán và đặt cọc</x:v>
      </x:c>
      <x:c r="E57" s="147" t="str">
        <x:v>Đặt cọc 30% để xác nhận chỗ. Số tiền còn lại được thanh toán theo thời hạn hiển thị trên booking.</x:v>
      </x:c>
      <x:c r="F57" s="147" t="n">
        <x:v>1</x:v>
      </x:c>
      <x:c r="G57" s="172" t="b">
        <x:v>1</x:v>
      </x:c>
    </x:row>
    <x:row r="58">
      <x:c r="A58" s="161" t="str">
        <x:v>POL-SCHHA012-02</x:v>
      </x:c>
      <x:c r="B58" s="147" t="str">
        <x:v>SCHHA012</x:v>
      </x:c>
      <x:c r="C58" s="147" t="str">
        <x:v>temporary_hold</x:v>
      </x:c>
      <x:c r="D58" s="147" t="str">
        <x:v>Giữ chỗ tạm thời</x:v>
      </x:c>
      <x:c r="E58" s="147" t="str">
        <x:v>Thời hạn giữ chỗ do hệ thống tính theo ngày khởi hành và tình trạng chỗ; không áp dụng cố định 24 giờ cho mọi tour.</x:v>
      </x:c>
      <x:c r="F58" s="147" t="n">
        <x:v>2</x:v>
      </x:c>
      <x:c r="G58" s="172" t="b">
        <x:v>1</x:v>
      </x:c>
    </x:row>
    <x:row r="59">
      <x:c r="A59" s="161" t="str">
        <x:v>POL-SCHHA012-03</x:v>
      </x:c>
      <x:c r="B59" s="147" t="str">
        <x:v>SCHHA012</x:v>
      </x:c>
      <x:c r="C59" s="147" t="str">
        <x:v>cancellation</x:v>
      </x:c>
      <x:c r="D59" s="147" t="str">
        <x:v>Hủy tour</x:v>
      </x:c>
      <x:c r="E59" s="147" t="str">
        <x:v>Chính sách hủy và mức hoàn tiền phụ thuộc thời điểm gửi yêu cầu so với ngày khởi hành.</x:v>
      </x:c>
      <x:c r="F59" s="147" t="n">
        <x:v>3</x:v>
      </x:c>
      <x:c r="G59" s="172" t="b">
        <x:v>1</x:v>
      </x:c>
    </x:row>
    <x:row r="60">
      <x:c r="A60" s="161" t="str">
        <x:v>POL-SCHHA012-04</x:v>
      </x:c>
      <x:c r="B60" s="147" t="str">
        <x:v>SCHHA012</x:v>
      </x:c>
      <x:c r="C60" s="147" t="str">
        <x:v>reschedule</x:v>
      </x:c>
      <x:c r="D60" s="147" t="str">
        <x:v>Đổi lịch</x:v>
      </x:c>
      <x:c r="E60" s="147" t="str">
        <x:v>Yêu cầu đổi lịch cần được gửi trước hạn và phụ thuộc số chỗ của đợt khởi hành mới.</x:v>
      </x:c>
      <x:c r="F60" s="147" t="n">
        <x:v>4</x:v>
      </x:c>
      <x:c r="G60" s="172" t="b">
        <x:v>1</x:v>
      </x:c>
    </x:row>
    <x:row r="61">
      <x:c r="A61" s="166" t="str">
        <x:v>POL-SCHHA012-05</x:v>
      </x:c>
      <x:c r="B61" s="167" t="str">
        <x:v>SCHHA012</x:v>
      </x:c>
      <x:c r="C61" s="167" t="str">
        <x:v>child</x:v>
      </x:c>
      <x:c r="D61" s="167" t="str">
        <x:v>Chính sách trẻ em</x:v>
      </x:c>
      <x:c r="E61" s="167" t="str">
        <x:v>Trẻ em 2–11 tuổi áp dụng giá mẫu bằng 75% giá người lớn; trẻ nhỏ dưới 2 tuổi chưa bao gồm dịch vụ riêng.</x:v>
      </x:c>
      <x:c r="F61" s="167" t="n">
        <x:v>5</x:v>
      </x:c>
      <x:c r="G61" s="173" t="b">
        <x:v>1</x:v>
      </x:c>
    </x:row>
  </x:sheetData>
  <x:dataValidations count="1">
    <x:dataValidation type="list" sqref="C2:C61">
      <x:formula1>"payment,temporary_hold,cancellation,reschedule,child,general_terms"</x:formula1>
    </x:dataValidation>
  </x:dataValidations>
  <x:pageMargins left="0.7" right="0.7" top="0.75" bottom="0.75" header="0.3" footer="0.3"/>
  <x:tableParts count="1">
    <x:tablePart xmlns:r="http://schemas.openxmlformats.org/officeDocument/2006/relationships" r:id="R26628ffccb4a4388"/>
  </x:tableParts>
</x:worksheet>
</file>

<file path=xl/worksheets/sheet26.xml><?xml version="1.0" encoding="utf-8"?>
<x:worksheet xmlns:x="http://schemas.openxmlformats.org/spreadsheetml/2006/main">
  <x:sheetFormatPr defaultRowHeight="15"/>
  <x:cols>
    <x:col min="1" max="1" width="18" hidden="0" customWidth="1"/>
    <x:col min="2" max="2" width="38" hidden="0" customWidth="1"/>
    <x:col min="3" max="3" width="42" hidden="0" customWidth="1"/>
    <x:col min="4" max="4" width="48" hidden="0" customWidth="1"/>
    <x:col min="5" max="5" width="38" hidden="0" customWidth="1"/>
    <x:col min="6" max="6" width="18" hidden="0" customWidth="1"/>
    <x:col min="7" max="7" width="12" hidden="0" customWidth="1"/>
  </x:cols>
  <x:sheetData>
    <x:row r="1">
      <x:c r="A1" s="207" t="str">
        <x:v>category</x:v>
      </x:c>
      <x:c r="B1" s="207" t="str">
        <x:v>old_filename</x:v>
      </x:c>
      <x:c r="C1" s="207" t="str">
        <x:v>new_filename</x:v>
      </x:c>
      <x:c r="D1" s="207" t="str">
        <x:v>local_path</x:v>
      </x:c>
      <x:c r="E1" s="207" t="str">
        <x:v>description</x:v>
      </x:c>
      <x:c r="F1" s="207" t="str">
        <x:v>used_for</x:v>
      </x:c>
      <x:c r="G1" s="207" t="str">
        <x:v>status</x:v>
      </x:c>
    </x:row>
    <x:row r="2">
      <x:c r="A2" s="127" t="str">
        <x:v>greensteps</x:v>
      </x:c>
      <x:c r="B2" s="127" t="str">
        <x:v>Gemini_Generated_Image_szp1ouszp1ouszp1.png</x:v>
      </x:c>
      <x:c r="C2" s="127" t="str">
        <x:v>greensteps-logo.png</x:v>
      </x:c>
      <x:c r="D2" s="127" t="str">
        <x:v>/image/greensteps/greensteps-logo.png</x:v>
      </x:c>
      <x:c r="E2" s="127" t="str">
        <x:v>Logo GreenSteps</x:v>
      </x:c>
      <x:c r="F2" s="127" t="str">
        <x:v>brand/avatar</x:v>
      </x:c>
      <x:c r="G2" s="127" t="str">
        <x:v>ready</x:v>
      </x:c>
    </x:row>
    <x:row r="3">
      <x:c r="A3" s="127" t="str">
        <x:v>greensteps</x:v>
      </x:c>
      <x:c r="B3" s="127" t="str">
        <x:v>b025d2b33ebe6db7e576ff3476f9acde.jpg</x:v>
      </x:c>
      <x:c r="C3" s="127" t="str">
        <x:v>avatar-linh-ngo.jpg</x:v>
      </x:c>
      <x:c r="D3" s="127" t="str">
        <x:v>/image/greensteps/avatar-linh-ngo.jpg</x:v>
      </x:c>
      <x:c r="E3" s="127" t="str">
        <x:v>avatar linh ngo</x:v>
      </x:c>
      <x:c r="F3" s="127" t="str">
        <x:v>brand/avatar</x:v>
      </x:c>
      <x:c r="G3" s="127" t="str">
        <x:v>ready</x:v>
      </x:c>
    </x:row>
    <x:row r="4">
      <x:c r="A4" s="127" t="str">
        <x:v>greensteps</x:v>
      </x:c>
      <x:c r="B4" s="127" t="str">
        <x:v>da38f44902391ce9a9e4f0fd4b69fb04.jpg</x:v>
      </x:c>
      <x:c r="C4" s="127" t="str">
        <x:v>avatar-vu-an-nhien.jpg</x:v>
      </x:c>
      <x:c r="D4" s="127" t="str">
        <x:v>/image/greensteps/avatar-vu-an-nhien.jpg</x:v>
      </x:c>
      <x:c r="E4" s="127" t="str">
        <x:v>avatar vu an nhien</x:v>
      </x:c>
      <x:c r="F4" s="127" t="str">
        <x:v>brand/avatar</x:v>
      </x:c>
      <x:c r="G4" s="127" t="str">
        <x:v>ready</x:v>
      </x:c>
    </x:row>
    <x:row r="5">
      <x:c r="A5" s="127" t="str">
        <x:v>greensteps</x:v>
      </x:c>
      <x:c r="B5" s="127" t="str">
        <x:v>fda836cf7e4b6050280b1ab7b031cdc4.jpg</x:v>
      </x:c>
      <x:c r="C5" s="127" t="str">
        <x:v>avatar-pham-hoang-minh.jpg</x:v>
      </x:c>
      <x:c r="D5" s="127" t="str">
        <x:v>/image/greensteps/avatar-pham-hoang-minh.jpg</x:v>
      </x:c>
      <x:c r="E5" s="127" t="str">
        <x:v>avatar pham hoang minh</x:v>
      </x:c>
      <x:c r="F5" s="127" t="str">
        <x:v>brand/avatar</x:v>
      </x:c>
      <x:c r="G5" s="127" t="str">
        <x:v>ready</x:v>
      </x:c>
    </x:row>
    <x:row r="6">
      <x:c r="A6" s="127" t="str">
        <x:v>tours</x:v>
      </x:c>
      <x:c r="B6" s="127" t="str">
        <x:v>0385679c9ff77a702f949073c3c64243.jpg</x:v>
      </x:c>
      <x:c r="C6" s="127" t="str">
        <x:v>phu-yen-mui-dien-bai-mon-01.jpg</x:v>
      </x:c>
      <x:c r="D6" s="127" t="str">
        <x:v>/image/tours/phu-yen-mui-dien-bai-mon-01.jpg</x:v>
      </x:c>
      <x:c r="E6" s="127" t="str">
        <x:v>phu yen mui dien bai mon 01</x:v>
      </x:c>
      <x:c r="F6" s="127" t="str">
        <x:v>tour/service/activity</x:v>
      </x:c>
      <x:c r="G6" s="127" t="str">
        <x:v>ready</x:v>
      </x:c>
    </x:row>
    <x:row r="7">
      <x:c r="A7" s="127" t="str">
        <x:v>tours</x:v>
      </x:c>
      <x:c r="B7" s="127" t="str">
        <x:v>04106570bf133ea4f15e87f2d327af08.jpg</x:v>
      </x:c>
      <x:c r="C7" s="127" t="str">
        <x:v>phu-yen-bai-xep-checkin-01.jpg</x:v>
      </x:c>
      <x:c r="D7" s="127" t="str">
        <x:v>/image/tours/phu-yen-bai-xep-checkin-01.jpg</x:v>
      </x:c>
      <x:c r="E7" s="127" t="str">
        <x:v>phu yen bai xep checkin 01</x:v>
      </x:c>
      <x:c r="F7" s="127" t="str">
        <x:v>tour/service/activity</x:v>
      </x:c>
      <x:c r="G7" s="127" t="str">
        <x:v>ready</x:v>
      </x:c>
    </x:row>
    <x:row r="8">
      <x:c r="A8" s="127" t="str">
        <x:v>tours</x:v>
      </x:c>
      <x:c r="B8" s="127" t="str">
        <x:v>15a0c52a7c13e6fb493d5ce4cb1b644b.jpg</x:v>
      </x:c>
      <x:c r="C8" s="127" t="str">
        <x:v>phu-yen-canh-quan-xanh-01.jpg</x:v>
      </x:c>
      <x:c r="D8" s="127" t="str">
        <x:v>/image/tours/phu-yen-canh-quan-xanh-01.jpg</x:v>
      </x:c>
      <x:c r="E8" s="127" t="str">
        <x:v>phu yen canh quan xanh 01</x:v>
      </x:c>
      <x:c r="F8" s="127" t="str">
        <x:v>tour/service/activity</x:v>
      </x:c>
      <x:c r="G8" s="127" t="str">
        <x:v>ready</x:v>
      </x:c>
    </x:row>
    <x:row r="9">
      <x:c r="A9" s="127" t="str">
        <x:v>tours</x:v>
      </x:c>
      <x:c r="B9" s="127" t="str">
        <x:v>3587347b589b5e9938898a4a7c4a61dd.jpg</x:v>
      </x:c>
      <x:c r="C9" s="127" t="str">
        <x:v>phu-yen-bien-trong-01.jpg</x:v>
      </x:c>
      <x:c r="D9" s="127" t="str">
        <x:v>/image/tours/phu-yen-bien-trong-01.jpg</x:v>
      </x:c>
      <x:c r="E9" s="127" t="str">
        <x:v>phu yen bien trong 01</x:v>
      </x:c>
      <x:c r="F9" s="127" t="str">
        <x:v>tour/service/activity</x:v>
      </x:c>
      <x:c r="G9" s="127" t="str">
        <x:v>ready</x:v>
      </x:c>
    </x:row>
    <x:row r="10">
      <x:c r="A10" s="127" t="str">
        <x:v>tours</x:v>
      </x:c>
      <x:c r="B10" s="127" t="str">
        <x:v>56ae7e81f9320e5fdd1ce582cf209507.jpg</x:v>
      </x:c>
      <x:c r="C10" s="127" t="str">
        <x:v>phu-yen-duong-ven-bien-01.jpg</x:v>
      </x:c>
      <x:c r="D10" s="127" t="str">
        <x:v>/image/tours/phu-yen-duong-ven-bien-01.jpg</x:v>
      </x:c>
      <x:c r="E10" s="127" t="str">
        <x:v>phu yen duong ven bien 01</x:v>
      </x:c>
      <x:c r="F10" s="127" t="str">
        <x:v>tour/service/activity</x:v>
      </x:c>
      <x:c r="G10" s="127" t="str">
        <x:v>ready</x:v>
      </x:c>
    </x:row>
    <x:row r="11">
      <x:c r="A11" s="127" t="str">
        <x:v>tours</x:v>
      </x:c>
      <x:c r="B11" s="127" t="str">
        <x:v>581559b0ca4ebbb8ec09d933fc7bff3d.jpg</x:v>
      </x:c>
      <x:c r="C11" s="127" t="str">
        <x:v>phu-yen-bai-bien-dua-01.jpg</x:v>
      </x:c>
      <x:c r="D11" s="127" t="str">
        <x:v>/image/tours/phu-yen-bai-bien-dua-01.jpg</x:v>
      </x:c>
      <x:c r="E11" s="127" t="str">
        <x:v>phu yen bai bien dua 01</x:v>
      </x:c>
      <x:c r="F11" s="127" t="str">
        <x:v>tour/service/activity</x:v>
      </x:c>
      <x:c r="G11" s="127" t="str">
        <x:v>ready</x:v>
      </x:c>
    </x:row>
    <x:row r="12">
      <x:c r="A12" s="127" t="str">
        <x:v>tours</x:v>
      </x:c>
      <x:c r="B12" s="127" t="str">
        <x:v>70ca787842ac719908dba52375fbb808.jpg</x:v>
      </x:c>
      <x:c r="C12" s="127" t="str">
        <x:v>phu-yen-checkin-ven-bien-01.jpg</x:v>
      </x:c>
      <x:c r="D12" s="127" t="str">
        <x:v>/image/tours/phu-yen-checkin-ven-bien-01.jpg</x:v>
      </x:c>
      <x:c r="E12" s="127" t="str">
        <x:v>phu yen checkin ven bien 01</x:v>
      </x:c>
      <x:c r="F12" s="127" t="str">
        <x:v>tour/service/activity</x:v>
      </x:c>
      <x:c r="G12" s="127" t="str">
        <x:v>ready</x:v>
      </x:c>
    </x:row>
    <x:row r="13">
      <x:c r="A13" s="127" t="str">
        <x:v>tours</x:v>
      </x:c>
      <x:c r="B13" s="127" t="str">
        <x:v>7c9e14a82698a594dd914369bfb8eaa5.jpg</x:v>
      </x:c>
      <x:c r="C13" s="127" t="str">
        <x:v>phu-yen-lang-chai-vung-ro-01.jpg</x:v>
      </x:c>
      <x:c r="D13" s="127" t="str">
        <x:v>/image/tours/phu-yen-lang-chai-vung-ro-01.jpg</x:v>
      </x:c>
      <x:c r="E13" s="127" t="str">
        <x:v>phu yen lang chai vung ro 01</x:v>
      </x:c>
      <x:c r="F13" s="127" t="str">
        <x:v>tour/service/activity</x:v>
      </x:c>
      <x:c r="G13" s="127" t="str">
        <x:v>ready</x:v>
      </x:c>
    </x:row>
    <x:row r="14">
      <x:c r="A14" s="127" t="str">
        <x:v>tours</x:v>
      </x:c>
      <x:c r="B14" s="127" t="str">
        <x:v>8af34ed335be7dc08464380dbc94c8ba.jpg</x:v>
      </x:c>
      <x:c r="C14" s="127" t="str">
        <x:v>phu-yen-bien-dao-minh-hoa-01.jpg</x:v>
      </x:c>
      <x:c r="D14" s="127" t="str">
        <x:v>/image/tours/phu-yen-bien-dao-minh-hoa-01.jpg</x:v>
      </x:c>
      <x:c r="E14" s="127" t="str">
        <x:v>phu yen bien dao minh hoa 01</x:v>
      </x:c>
      <x:c r="F14" s="127" t="str">
        <x:v>tour/service/activity</x:v>
      </x:c>
      <x:c r="G14" s="127" t="str">
        <x:v>ready</x:v>
      </x:c>
    </x:row>
    <x:row r="15">
      <x:c r="A15" s="127" t="str">
        <x:v>tours</x:v>
      </x:c>
      <x:c r="B15" s="127" t="str">
        <x:v>943a69c768695bfa9629d583cd4ee798.jpg</x:v>
      </x:c>
      <x:c r="C15" s="127" t="str">
        <x:v>phu-yen-thap-nghinh-phong-01.jpg</x:v>
      </x:c>
      <x:c r="D15" s="127" t="str">
        <x:v>/image/tours/phu-yen-thap-nghinh-phong-01.jpg</x:v>
      </x:c>
      <x:c r="E15" s="127" t="str">
        <x:v>phu yen thap nghinh phong 01</x:v>
      </x:c>
      <x:c r="F15" s="127" t="str">
        <x:v>tour/service/activity</x:v>
      </x:c>
      <x:c r="G15" s="127" t="str">
        <x:v>ready</x:v>
      </x:c>
    </x:row>
    <x:row r="16">
      <x:c r="A16" s="127" t="str">
        <x:v>tours</x:v>
      </x:c>
      <x:c r="B16" s="127" t="str">
        <x:v>f1.jpg</x:v>
      </x:c>
      <x:c r="C16" s="127" t="str">
        <x:v>phu-yen-bai-da-ven-bien-01.jpg</x:v>
      </x:c>
      <x:c r="D16" s="127" t="str">
        <x:v>/image/tours/phu-yen-bai-da-ven-bien-01.jpg</x:v>
      </x:c>
      <x:c r="E16" s="127" t="str">
        <x:v>phu yen bai da ven bien 01</x:v>
      </x:c>
      <x:c r="F16" s="127" t="str">
        <x:v>tour/service/activity</x:v>
      </x:c>
      <x:c r="G16" s="127" t="str">
        <x:v>ready</x:v>
      </x:c>
    </x:row>
    <x:row r="17">
      <x:c r="A17" s="127" t="str">
        <x:v>tours</x:v>
      </x:c>
      <x:c r="B17" s="127" t="str">
        <x:v>1dc8619487310884c9d631d689ece1e7.jpg</x:v>
      </x:c>
      <x:c r="C17" s="127" t="str">
        <x:v>da-lat-rung-thong-01.jpg</x:v>
      </x:c>
      <x:c r="D17" s="127" t="str">
        <x:v>/image/tours/da-lat-rung-thong-01.jpg</x:v>
      </x:c>
      <x:c r="E17" s="127" t="str">
        <x:v>da lat rung thong 01</x:v>
      </x:c>
      <x:c r="F17" s="127" t="str">
        <x:v>tour/service/activity</x:v>
      </x:c>
      <x:c r="G17" s="127" t="str">
        <x:v>ready</x:v>
      </x:c>
    </x:row>
    <x:row r="18">
      <x:c r="A18" s="127" t="str">
        <x:v>tours</x:v>
      </x:c>
      <x:c r="B18" s="127" t="str">
        <x:v>2eee566424c1f35fbeacf85496b4b6e7.jpg</x:v>
      </x:c>
      <x:c r="C18" s="127" t="str">
        <x:v>da-lat-rung-thong-san-may-01.jpg</x:v>
      </x:c>
      <x:c r="D18" s="127" t="str">
        <x:v>/image/tours/da-lat-rung-thong-san-may-01.jpg</x:v>
      </x:c>
      <x:c r="E18" s="127" t="str">
        <x:v>da lat rung thong san may 01</x:v>
      </x:c>
      <x:c r="F18" s="127" t="str">
        <x:v>tour/service/activity</x:v>
      </x:c>
      <x:c r="G18" s="127" t="str">
        <x:v>ready</x:v>
      </x:c>
    </x:row>
    <x:row r="19">
      <x:c r="A19" s="127" t="str">
        <x:v>tours</x:v>
      </x:c>
      <x:c r="B19" s="127" t="str">
        <x:v>4976cb33e8040db48b5683c990a9d59a.jpg</x:v>
      </x:c>
      <x:c r="C19" s="127" t="str">
        <x:v>da-lat-chua-linh-phuoc-01.jpg</x:v>
      </x:c>
      <x:c r="D19" s="127" t="str">
        <x:v>/image/tours/da-lat-chua-linh-phuoc-01.jpg</x:v>
      </x:c>
      <x:c r="E19" s="127" t="str">
        <x:v>da lat chua linh phuoc 01</x:v>
      </x:c>
      <x:c r="F19" s="127" t="str">
        <x:v>tour/service/activity</x:v>
      </x:c>
      <x:c r="G19" s="127" t="str">
        <x:v>ready</x:v>
      </x:c>
    </x:row>
    <x:row r="20">
      <x:c r="A20" s="127" t="str">
        <x:v>tours</x:v>
      </x:c>
      <x:c r="B20" s="127" t="str">
        <x:v>6b09f5131a395cea97e96903873e730d.jpg</x:v>
      </x:c>
      <x:c r="C20" s="127" t="str">
        <x:v>da-lat-duong-mai-anh-dao-01.jpg</x:v>
      </x:c>
      <x:c r="D20" s="127" t="str">
        <x:v>/image/tours/da-lat-duong-mai-anh-dao-01.jpg</x:v>
      </x:c>
      <x:c r="E20" s="127" t="str">
        <x:v>da lat duong mai anh dao 01</x:v>
      </x:c>
      <x:c r="F20" s="127" t="str">
        <x:v>tour/service/activity</x:v>
      </x:c>
      <x:c r="G20" s="127" t="str">
        <x:v>ready</x:v>
      </x:c>
    </x:row>
    <x:row r="21">
      <x:c r="A21" s="127" t="str">
        <x:v>tours</x:v>
      </x:c>
      <x:c r="B21" s="127" t="str">
        <x:v>7e92a3a332bb71af1ce2c9ded6cdfd1b.jpg</x:v>
      </x:c>
      <x:c r="C21" s="127" t="str">
        <x:v>da-lat-toan-canh-thanh-pho-01.jpg</x:v>
      </x:c>
      <x:c r="D21" s="127" t="str">
        <x:v>/image/tours/da-lat-toan-canh-thanh-pho-01.jpg</x:v>
      </x:c>
      <x:c r="E21" s="127" t="str">
        <x:v>da lat toan canh thanh pho 01</x:v>
      </x:c>
      <x:c r="F21" s="127" t="str">
        <x:v>tour/service/activity</x:v>
      </x:c>
      <x:c r="G21" s="127" t="str">
        <x:v>ready</x:v>
      </x:c>
    </x:row>
    <x:row r="22">
      <x:c r="A22" s="127" t="str">
        <x:v>tours</x:v>
      </x:c>
      <x:c r="B22" s="127" t="str">
        <x:v>84f953ea7c15c4d025ffd724c2a1ab59.jpg</x:v>
      </x:c>
      <x:c r="C22" s="127" t="str">
        <x:v>da-lat-diem-ngam-thanh-pho-01.jpg</x:v>
      </x:c>
      <x:c r="D22" s="127" t="str">
        <x:v>/image/tours/da-lat-diem-ngam-thanh-pho-01.jpg</x:v>
      </x:c>
      <x:c r="E22" s="127" t="str">
        <x:v>da lat diem ngam thanh pho 01</x:v>
      </x:c>
      <x:c r="F22" s="127" t="str">
        <x:v>tour/service/activity</x:v>
      </x:c>
      <x:c r="G22" s="127" t="str">
        <x:v>ready</x:v>
      </x:c>
    </x:row>
    <x:row r="23">
      <x:c r="A23" s="127" t="str">
        <x:v>tours</x:v>
      </x:c>
      <x:c r="B23" s="127" t="str">
        <x:v>89ff12e4efe8892043e13329fe6369bd.jpg</x:v>
      </x:c>
      <x:c r="C23" s="127" t="str">
        <x:v>da-lat-quang-truong-lam-vien-01.jpg</x:v>
      </x:c>
      <x:c r="D23" s="127" t="str">
        <x:v>/image/tours/da-lat-quang-truong-lam-vien-01.jpg</x:v>
      </x:c>
      <x:c r="E23" s="127" t="str">
        <x:v>da lat quang truong lam vien 01</x:v>
      </x:c>
      <x:c r="F23" s="127" t="str">
        <x:v>tour/service/activity</x:v>
      </x:c>
      <x:c r="G23" s="127" t="str">
        <x:v>ready</x:v>
      </x:c>
    </x:row>
    <x:row r="24">
      <x:c r="A24" s="127" t="str">
        <x:v>tours</x:v>
      </x:c>
      <x:c r="B24" s="127" t="str">
        <x:v>92fecfd6dd3a2e897394880301274943.jpg</x:v>
      </x:c>
      <x:c r="C24" s="127" t="str">
        <x:v>da-lat-ho-xuan-huong-01.jpg</x:v>
      </x:c>
      <x:c r="D24" s="127" t="str">
        <x:v>/image/tours/da-lat-ho-xuan-huong-01.jpg</x:v>
      </x:c>
      <x:c r="E24" s="127" t="str">
        <x:v>da lat ho xuan huong 01</x:v>
      </x:c>
      <x:c r="F24" s="127" t="str">
        <x:v>tour/service/activity</x:v>
      </x:c>
      <x:c r="G24" s="127" t="str">
        <x:v>ready</x:v>
      </x:c>
    </x:row>
    <x:row r="25">
      <x:c r="A25" s="127" t="str">
        <x:v>tours</x:v>
      </x:c>
      <x:c r="B25" s="127" t="str">
        <x:v>9d43188e7f712fe777c009c299172393.jpg</x:v>
      </x:c>
      <x:c r="C25" s="127" t="str">
        <x:v>da-lat-vuon-hoa-01.jpg</x:v>
      </x:c>
      <x:c r="D25" s="127" t="str">
        <x:v>/image/tours/da-lat-vuon-hoa-01.jpg</x:v>
      </x:c>
      <x:c r="E25" s="127" t="str">
        <x:v>da lat vuon hoa 01</x:v>
      </x:c>
      <x:c r="F25" s="127" t="str">
        <x:v>tour/service/activity</x:v>
      </x:c>
      <x:c r="G25" s="127" t="str">
        <x:v>ready</x:v>
      </x:c>
    </x:row>
    <x:row r="26">
      <x:c r="A26" s="127" t="str">
        <x:v>tours</x:v>
      </x:c>
      <x:c r="B26" s="127" t="str">
        <x:v>a2112e894da1dc8d58bf023f83f601d9.jpg</x:v>
      </x:c>
      <x:c r="C26" s="127" t="str">
        <x:v>da-lat-doc-pho-01.jpg</x:v>
      </x:c>
      <x:c r="D26" s="127" t="str">
        <x:v>/image/tours/da-lat-doc-pho-01.jpg</x:v>
      </x:c>
      <x:c r="E26" s="127" t="str">
        <x:v>da lat doc pho 01</x:v>
      </x:c>
      <x:c r="F26" s="127" t="str">
        <x:v>tour/service/activity</x:v>
      </x:c>
      <x:c r="G26" s="127" t="str">
        <x:v>ready</x:v>
      </x:c>
    </x:row>
    <x:row r="27">
      <x:c r="A27" s="127" t="str">
        <x:v>tours</x:v>
      </x:c>
      <x:c r="B27" s="127" t="str">
        <x:v>b3bae4f18bd01e9d80df049017791854.jpg</x:v>
      </x:c>
      <x:c r="C27" s="127" t="str">
        <x:v>da-lat-quang-truong-lam-vien-02.jpg</x:v>
      </x:c>
      <x:c r="D27" s="127" t="str">
        <x:v>/image/tours/da-lat-quang-truong-lam-vien-02.jpg</x:v>
      </x:c>
      <x:c r="E27" s="127" t="str">
        <x:v>da lat quang truong lam vien 02</x:v>
      </x:c>
      <x:c r="F27" s="127" t="str">
        <x:v>tour/service/activity</x:v>
      </x:c>
      <x:c r="G27" s="127" t="str">
        <x:v>ready</x:v>
      </x:c>
    </x:row>
    <x:row r="28">
      <x:c r="A28" s="127" t="str">
        <x:v>tours</x:v>
      </x:c>
      <x:c r="B28" s="127" t="str">
        <x:v>b903d603b9bae9ee419ecfe78abb1637.jpg</x:v>
      </x:c>
      <x:c r="C28" s="127" t="str">
        <x:v>da-lat-hem-pho-01.jpg</x:v>
      </x:c>
      <x:c r="D28" s="127" t="str">
        <x:v>/image/tours/da-lat-hem-pho-01.jpg</x:v>
      </x:c>
      <x:c r="E28" s="127" t="str">
        <x:v>da lat hem pho 01</x:v>
      </x:c>
      <x:c r="F28" s="127" t="str">
        <x:v>tour/service/activity</x:v>
      </x:c>
      <x:c r="G28" s="127" t="str">
        <x:v>ready</x:v>
      </x:c>
    </x:row>
    <x:row r="29">
      <x:c r="A29" s="127" t="str">
        <x:v>tours</x:v>
      </x:c>
      <x:c r="B29" s="127" t="str">
        <x:v>c19f876b36cd07c19b05c07487b82697.jpg</x:v>
      </x:c>
      <x:c r="C29" s="127" t="str">
        <x:v>da-lat-kien-truc-co-01.jpg</x:v>
      </x:c>
      <x:c r="D29" s="127" t="str">
        <x:v>/image/tours/da-lat-kien-truc-co-01.jpg</x:v>
      </x:c>
      <x:c r="E29" s="127" t="str">
        <x:v>da lat kien truc co 01</x:v>
      </x:c>
      <x:c r="F29" s="127" t="str">
        <x:v>tour/service/activity</x:v>
      </x:c>
      <x:c r="G29" s="127" t="str">
        <x:v>ready</x:v>
      </x:c>
    </x:row>
    <x:row r="30">
      <x:c r="A30" s="127" t="str">
        <x:v>tours</x:v>
      </x:c>
      <x:c r="B30" s="127" t="str">
        <x:v>c965ba0c3ec63789fe365bccbeb055a5.jpg</x:v>
      </x:c>
      <x:c r="C30" s="127" t="str">
        <x:v>da-lat-duong-ham-dat-set-01.jpg</x:v>
      </x:c>
      <x:c r="D30" s="127" t="str">
        <x:v>/image/tours/da-lat-duong-ham-dat-set-01.jpg</x:v>
      </x:c>
      <x:c r="E30" s="127" t="str">
        <x:v>da lat duong ham dat set 01</x:v>
      </x:c>
      <x:c r="F30" s="127" t="str">
        <x:v>tour/service/activity</x:v>
      </x:c>
      <x:c r="G30" s="127" t="str">
        <x:v>ready</x:v>
      </x:c>
    </x:row>
    <x:row r="31">
      <x:c r="A31" s="127" t="str">
        <x:v>tours</x:v>
      </x:c>
      <x:c r="B31" s="127" t="str">
        <x:v>cb4fbf769d60d911e13c255f7fb39dcc.jpg</x:v>
      </x:c>
      <x:c r="C31" s="127" t="str">
        <x:v>da-lat-thac-nuoc-01.jpg</x:v>
      </x:c>
      <x:c r="D31" s="127" t="str">
        <x:v>/image/tours/da-lat-thac-nuoc-01.jpg</x:v>
      </x:c>
      <x:c r="E31" s="127" t="str">
        <x:v>da lat thac nuoc 01</x:v>
      </x:c>
      <x:c r="F31" s="127" t="str">
        <x:v>tour/service/activity</x:v>
      </x:c>
      <x:c r="G31" s="127" t="str">
        <x:v>ready</x:v>
      </x:c>
    </x:row>
    <x:row r="32">
      <x:c r="A32" s="127" t="str">
        <x:v>tours</x:v>
      </x:c>
      <x:c r="B32" s="127" t="str">
        <x:v>f06b41cf4b00d85c82d7d37a03cce39d.jpg</x:v>
      </x:c>
      <x:c r="C32" s="127" t="str">
        <x:v>da-lat-ho-tuyen-lam-01.jpg</x:v>
      </x:c>
      <x:c r="D32" s="127" t="str">
        <x:v>/image/tours/da-lat-ho-tuyen-lam-01.jpg</x:v>
      </x:c>
      <x:c r="E32" s="127" t="str">
        <x:v>da lat ho tuyen lam 01</x:v>
      </x:c>
      <x:c r="F32" s="127" t="str">
        <x:v>tour/service/activity</x:v>
      </x:c>
      <x:c r="G32" s="127" t="str">
        <x:v>ready</x:v>
      </x:c>
    </x:row>
    <x:row r="33">
      <x:c r="A33" s="127" t="str">
        <x:v>tours</x:v>
      </x:c>
      <x:c r="B33" s="127" t="str">
        <x:v>fffbc4216b5ca2636b3236e0a8dfe8ec.jpg</x:v>
      </x:c>
      <x:c r="C33" s="127" t="str">
        <x:v>da-lat-nghi-duong-ven-ho-01.jpg</x:v>
      </x:c>
      <x:c r="D33" s="127" t="str">
        <x:v>/image/tours/da-lat-nghi-duong-ven-ho-01.jpg</x:v>
      </x:c>
      <x:c r="E33" s="127" t="str">
        <x:v>da lat nghi duong ven ho 01</x:v>
      </x:c>
      <x:c r="F33" s="127" t="str">
        <x:v>tour/service/activity</x:v>
      </x:c>
      <x:c r="G33" s="127" t="str">
        <x:v>ready</x:v>
      </x:c>
    </x:row>
    <x:row r="34">
      <x:c r="A34" s="127" t="str">
        <x:v>tours</x:v>
      </x:c>
      <x:c r="B34" s="127" t="str">
        <x:v>tải xuống.jpg</x:v>
      </x:c>
      <x:c r="C34" s="127" t="str">
        <x:v>da-lat-rung-thong-02.jpg</x:v>
      </x:c>
      <x:c r="D34" s="127" t="str">
        <x:v>/image/tours/da-lat-rung-thong-02.jpg</x:v>
      </x:c>
      <x:c r="E34" s="127" t="str">
        <x:v>da lat rung thong 02</x:v>
      </x:c>
      <x:c r="F34" s="127" t="str">
        <x:v>tour/service/activity</x:v>
      </x:c>
      <x:c r="G34" s="127" t="str">
        <x:v>ready</x:v>
      </x:c>
    </x:row>
    <x:row r="35">
      <x:c r="A35" s="127" t="str">
        <x:v>tours</x:v>
      </x:c>
      <x:c r="B35" s="127" t="str">
        <x:v>1142e0407f6662a8fbd6f0ae891f5091.jpg</x:v>
      </x:c>
      <x:c r="C35" s="127" t="str">
        <x:v>hoi-an-lang-rau-tra-que-01.jpg</x:v>
      </x:c>
      <x:c r="D35" s="127" t="str">
        <x:v>/image/tours/hoi-an-lang-rau-tra-que-01.jpg</x:v>
      </x:c>
      <x:c r="E35" s="127" t="str">
        <x:v>hoi an lang rau tra que 01</x:v>
      </x:c>
      <x:c r="F35" s="127" t="str">
        <x:v>tour/service/activity</x:v>
      </x:c>
      <x:c r="G35" s="127" t="str">
        <x:v>ready</x:v>
      </x:c>
    </x:row>
    <x:row r="36">
      <x:c r="A36" s="127" t="str">
        <x:v>tours</x:v>
      </x:c>
      <x:c r="B36" s="127" t="str">
        <x:v>1f5e133dacffc39d501fd2233e6d8915.jpg</x:v>
      </x:c>
      <x:c r="C36" s="127" t="str">
        <x:v>hoi-an-pho-co-den-long-01.jpg</x:v>
      </x:c>
      <x:c r="D36" s="127" t="str">
        <x:v>/image/tours/hoi-an-pho-co-den-long-01.jpg</x:v>
      </x:c>
      <x:c r="E36" s="127" t="str">
        <x:v>hoi an pho co den long 01</x:v>
      </x:c>
      <x:c r="F36" s="127" t="str">
        <x:v>tour/service/activity</x:v>
      </x:c>
      <x:c r="G36" s="127" t="str">
        <x:v>ready</x:v>
      </x:c>
    </x:row>
    <x:row r="37">
      <x:c r="A37" s="127" t="str">
        <x:v>tours</x:v>
      </x:c>
      <x:c r="B37" s="127" t="str">
        <x:v>39fdb9626d1769bc120a85b83e16ad67.jpg</x:v>
      </x:c>
      <x:c r="C37" s="127" t="str">
        <x:v>da-nang-bien-my-khe-01.jpg</x:v>
      </x:c>
      <x:c r="D37" s="127" t="str">
        <x:v>/image/tours/da-nang-bien-my-khe-01.jpg</x:v>
      </x:c>
      <x:c r="E37" s="127" t="str">
        <x:v>da nang bien my khe 01</x:v>
      </x:c>
      <x:c r="F37" s="127" t="str">
        <x:v>tour/service/activity</x:v>
      </x:c>
      <x:c r="G37" s="127" t="str">
        <x:v>ready</x:v>
      </x:c>
    </x:row>
    <x:row r="38">
      <x:c r="A38" s="127" t="str">
        <x:v>tours</x:v>
      </x:c>
      <x:c r="B38" s="127" t="str">
        <x:v>41a413334d9e3753b26c50f3a3921309.jpg</x:v>
      </x:c>
      <x:c r="C38" s="127" t="str">
        <x:v>da-nang-son-tra-rung-xanh-01.jpg</x:v>
      </x:c>
      <x:c r="D38" s="127" t="str">
        <x:v>/image/tours/da-nang-son-tra-rung-xanh-01.jpg</x:v>
      </x:c>
      <x:c r="E38" s="127" t="str">
        <x:v>da nang son tra rung xanh 01</x:v>
      </x:c>
      <x:c r="F38" s="127" t="str">
        <x:v>tour/service/activity</x:v>
      </x:c>
      <x:c r="G38" s="127" t="str">
        <x:v>ready</x:v>
      </x:c>
    </x:row>
    <x:row r="39">
      <x:c r="A39" s="127" t="str">
        <x:v>tours</x:v>
      </x:c>
      <x:c r="B39" s="127" t="str">
        <x:v>4b802cd9a6612bb18bbcbe29f8683b22.jpg</x:v>
      </x:c>
      <x:c r="C39" s="127" t="str">
        <x:v>hoi-an-ca-phe-dia-phuong-01.jpg</x:v>
      </x:c>
      <x:c r="D39" s="127" t="str">
        <x:v>/image/tours/hoi-an-ca-phe-dia-phuong-01.jpg</x:v>
      </x:c>
      <x:c r="E39" s="127" t="str">
        <x:v>hoi an ca phe dia phuong 01</x:v>
      </x:c>
      <x:c r="F39" s="127" t="str">
        <x:v>tour/service/activity</x:v>
      </x:c>
      <x:c r="G39" s="127" t="str">
        <x:v>ready</x:v>
      </x:c>
    </x:row>
    <x:row r="40">
      <x:c r="A40" s="127" t="str">
        <x:v>tours</x:v>
      </x:c>
      <x:c r="B40" s="127" t="str">
        <x:v>52627caa0015b2f833fbdc632d37dc82.jpg</x:v>
      </x:c>
      <x:c r="C40" s="127" t="str">
        <x:v>hoi-an-pho-co-den-long-02.jpg</x:v>
      </x:c>
      <x:c r="D40" s="127" t="str">
        <x:v>/image/tours/hoi-an-pho-co-den-long-02.jpg</x:v>
      </x:c>
      <x:c r="E40" s="127" t="str">
        <x:v>hoi an pho co den long 02</x:v>
      </x:c>
      <x:c r="F40" s="127" t="str">
        <x:v>tour/service/activity</x:v>
      </x:c>
      <x:c r="G40" s="127" t="str">
        <x:v>ready</x:v>
      </x:c>
    </x:row>
    <x:row r="41">
      <x:c r="A41" s="127" t="str">
        <x:v>tours</x:v>
      </x:c>
      <x:c r="B41" s="127" t="str">
        <x:v>55309047349d10c56973eb3566891d7a.jpg</x:v>
      </x:c>
      <x:c r="C41" s="127" t="str">
        <x:v>da-nang-ba-na-hills-lang-phap-01.jpg</x:v>
      </x:c>
      <x:c r="D41" s="127" t="str">
        <x:v>/image/tours/da-nang-ba-na-hills-lang-phap-01.jpg</x:v>
      </x:c>
      <x:c r="E41" s="127" t="str">
        <x:v>da nang ba na hills lang phap 01</x:v>
      </x:c>
      <x:c r="F41" s="127" t="str">
        <x:v>tour/service/activity</x:v>
      </x:c>
      <x:c r="G41" s="127" t="str">
        <x:v>ready</x:v>
      </x:c>
    </x:row>
    <x:row r="42">
      <x:c r="A42" s="127" t="str">
        <x:v>tours</x:v>
      </x:c>
      <x:c r="B42" s="127" t="str">
        <x:v>64ef0b199be06ba1bc8653fee71fcf45.jpg</x:v>
      </x:c>
      <x:c r="C42" s="127" t="str">
        <x:v>da-nang-bien-my-khe-toan-canh-01.jpg</x:v>
      </x:c>
      <x:c r="D42" s="127" t="str">
        <x:v>/image/tours/da-nang-bien-my-khe-toan-canh-01.jpg</x:v>
      </x:c>
      <x:c r="E42" s="127" t="str">
        <x:v>da nang bien my khe toan canh 01</x:v>
      </x:c>
      <x:c r="F42" s="127" t="str">
        <x:v>tour/service/activity</x:v>
      </x:c>
      <x:c r="G42" s="127" t="str">
        <x:v>ready</x:v>
      </x:c>
    </x:row>
    <x:row r="43">
      <x:c r="A43" s="127" t="str">
        <x:v>tours</x:v>
      </x:c>
      <x:c r="B43" s="127" t="str">
        <x:v>750b42778afb48223dca3644227d731a.jpg</x:v>
      </x:c>
      <x:c r="C43" s="127" t="str">
        <x:v>da-nang-cau-rong-phun-lua-01.jpg</x:v>
      </x:c>
      <x:c r="D43" s="127" t="str">
        <x:v>/image/tours/da-nang-cau-rong-phun-lua-01.jpg</x:v>
      </x:c>
      <x:c r="E43" s="127" t="str">
        <x:v>da nang cau rong phun lua 01</x:v>
      </x:c>
      <x:c r="F43" s="127" t="str">
        <x:v>tour/service/activity</x:v>
      </x:c>
      <x:c r="G43" s="127" t="str">
        <x:v>ready</x:v>
      </x:c>
    </x:row>
    <x:row r="44">
      <x:c r="A44" s="127" t="str">
        <x:v>tours</x:v>
      </x:c>
      <x:c r="B44" s="127" t="str">
        <x:v>7d54e239d8c77eb6a9b81785ef5b3889.jpg</x:v>
      </x:c>
      <x:c r="C44" s="127" t="str">
        <x:v>da-nang-ba-na-hills-kien-truc-01.jpg</x:v>
      </x:c>
      <x:c r="D44" s="127" t="str">
        <x:v>/image/tours/da-nang-ba-na-hills-kien-truc-01.jpg</x:v>
      </x:c>
      <x:c r="E44" s="127" t="str">
        <x:v>da nang ba na hills kien truc 01</x:v>
      </x:c>
      <x:c r="F44" s="127" t="str">
        <x:v>tour/service/activity</x:v>
      </x:c>
      <x:c r="G44" s="127" t="str">
        <x:v>ready</x:v>
      </x:c>
    </x:row>
    <x:row r="45">
      <x:c r="A45" s="127" t="str">
        <x:v>tours</x:v>
      </x:c>
      <x:c r="B45" s="127" t="str">
        <x:v>9c208725804356056f5c137511abb843.jpg</x:v>
      </x:c>
      <x:c r="C45" s="127" t="str">
        <x:v>hoi-an-lang-nghe-thu-cong-01.jpg</x:v>
      </x:c>
      <x:c r="D45" s="127" t="str">
        <x:v>/image/tours/hoi-an-lang-nghe-thu-cong-01.jpg</x:v>
      </x:c>
      <x:c r="E45" s="127" t="str">
        <x:v>hoi an lang nghe thu cong 01</x:v>
      </x:c>
      <x:c r="F45" s="127" t="str">
        <x:v>tour/service/activity</x:v>
      </x:c>
      <x:c r="G45" s="127" t="str">
        <x:v>ready</x:v>
      </x:c>
    </x:row>
    <x:row r="46">
      <x:c r="A46" s="127" t="str">
        <x:v>tours</x:v>
      </x:c>
      <x:c r="B46" s="127" t="str">
        <x:v>acf000b9a1dbd5705291344eb9c142d3.jpg</x:v>
      </x:c>
      <x:c r="C46" s="127" t="str">
        <x:v>hoi-an-pho-co-xe-dap-01.jpg</x:v>
      </x:c>
      <x:c r="D46" s="127" t="str">
        <x:v>/image/tours/hoi-an-pho-co-xe-dap-01.jpg</x:v>
      </x:c>
      <x:c r="E46" s="127" t="str">
        <x:v>hoi an pho co xe dap 01</x:v>
      </x:c>
      <x:c r="F46" s="127" t="str">
        <x:v>tour/service/activity</x:v>
      </x:c>
      <x:c r="G46" s="127" t="str">
        <x:v>ready</x:v>
      </x:c>
    </x:row>
    <x:row r="47">
      <x:c r="A47" s="127" t="str">
        <x:v>tours</x:v>
      </x:c>
      <x:c r="B47" s="127" t="str">
        <x:v>b5dd74ee0d21dc4a759fd6bd3d976450.jpg</x:v>
      </x:c>
      <x:c r="C47" s="127" t="str">
        <x:v>hoi-an-checkin-pho-co-01.jpg</x:v>
      </x:c>
      <x:c r="D47" s="127" t="str">
        <x:v>/image/tours/hoi-an-checkin-pho-co-01.jpg</x:v>
      </x:c>
      <x:c r="E47" s="127" t="str">
        <x:v>hoi an checkin pho co 01</x:v>
      </x:c>
      <x:c r="F47" s="127" t="str">
        <x:v>tour/service/activity</x:v>
      </x:c>
      <x:c r="G47" s="127" t="str">
        <x:v>ready</x:v>
      </x:c>
    </x:row>
    <x:row r="48">
      <x:c r="A48" s="127" t="str">
        <x:v>tours</x:v>
      </x:c>
      <x:c r="B48" s="127" t="str">
        <x:v>bd967dd4db3a5eea7c6c44c54d9bd37a.jpg</x:v>
      </x:c>
      <x:c r="C48" s="127" t="str">
        <x:v>da-nang-ba-na-hills-tuong-da-01.jpg</x:v>
      </x:c>
      <x:c r="D48" s="127" t="str">
        <x:v>/image/tours/da-nang-ba-na-hills-tuong-da-01.jpg</x:v>
      </x:c>
      <x:c r="E48" s="127" t="str">
        <x:v>da nang ba na hills tuong da 01</x:v>
      </x:c>
      <x:c r="F48" s="127" t="str">
        <x:v>tour/service/activity</x:v>
      </x:c>
      <x:c r="G48" s="127" t="str">
        <x:v>ready</x:v>
      </x:c>
    </x:row>
    <x:row r="49">
      <x:c r="A49" s="127" t="str">
        <x:v>tours</x:v>
      </x:c>
      <x:c r="B49" s="127" t="str">
        <x:v>c47f5e822bf84e1fab48744d746444df.jpg</x:v>
      </x:c>
      <x:c r="C49" s="127" t="str">
        <x:v>hoi-an-checkin-den-long-01.jpg</x:v>
      </x:c>
      <x:c r="D49" s="127" t="str">
        <x:v>/image/tours/hoi-an-checkin-den-long-01.jpg</x:v>
      </x:c>
      <x:c r="E49" s="127" t="str">
        <x:v>hoi an checkin den long 01</x:v>
      </x:c>
      <x:c r="F49" s="127" t="str">
        <x:v>tour/service/activity</x:v>
      </x:c>
      <x:c r="G49" s="127" t="str">
        <x:v>ready</x:v>
      </x:c>
    </x:row>
    <x:row r="50">
      <x:c r="A50" s="127" t="str">
        <x:v>tours</x:v>
      </x:c>
      <x:c r="B50" s="127" t="str">
        <x:v>c5e9ecfe2d635c36b197ae2a254b4b8f.jpg</x:v>
      </x:c>
      <x:c r="C50" s="127" t="str">
        <x:v>hoi-an-hem-pho-co-01.jpg</x:v>
      </x:c>
      <x:c r="D50" s="127" t="str">
        <x:v>/image/tours/hoi-an-hem-pho-co-01.jpg</x:v>
      </x:c>
      <x:c r="E50" s="127" t="str">
        <x:v>hoi an hem pho co 01</x:v>
      </x:c>
      <x:c r="F50" s="127" t="str">
        <x:v>tour/service/activity</x:v>
      </x:c>
      <x:c r="G50" s="127" t="str">
        <x:v>ready</x:v>
      </x:c>
    </x:row>
    <x:row r="51">
      <x:c r="A51" s="127" t="str">
        <x:v>tours</x:v>
      </x:c>
      <x:c r="B51" s="127" t="str">
        <x:v>d8739bc4b9e3ee4ec7e160ce7c5ed5d0.jpg</x:v>
      </x:c>
      <x:c r="C51" s="127" t="str">
        <x:v>da-nang-cau-vang-binh-minh-01.jpg</x:v>
      </x:c>
      <x:c r="D51" s="127" t="str">
        <x:v>/image/tours/da-nang-cau-vang-binh-minh-01.jpg</x:v>
      </x:c>
      <x:c r="E51" s="127" t="str">
        <x:v>da nang cau vang binh minh 01</x:v>
      </x:c>
      <x:c r="F51" s="127" t="str">
        <x:v>tour/service/activity</x:v>
      </x:c>
      <x:c r="G51" s="127" t="str">
        <x:v>ready</x:v>
      </x:c>
    </x:row>
    <x:row r="52">
      <x:c r="A52" s="127" t="str">
        <x:v>tours</x:v>
      </x:c>
      <x:c r="B52" s="127" t="str">
        <x:v>dcdddb9c23b809c73fd9fdb74e6d44d5.jpg</x:v>
      </x:c>
      <x:c r="C52" s="127" t="str">
        <x:v>da-nang-cau-vang-ba-na-hills-01.jpg</x:v>
      </x:c>
      <x:c r="D52" s="127" t="str">
        <x:v>/image/tours/da-nang-cau-vang-ba-na-hills-01.jpg</x:v>
      </x:c>
      <x:c r="E52" s="127" t="str">
        <x:v>da nang cau vang ba na hills 01</x:v>
      </x:c>
      <x:c r="F52" s="127" t="str">
        <x:v>tour/service/activity</x:v>
      </x:c>
      <x:c r="G52" s="127" t="str">
        <x:v>ready</x:v>
      </x:c>
    </x:row>
    <x:row r="53">
      <x:c r="A53" s="127" t="str">
        <x:v>tours</x:v>
      </x:c>
      <x:c r="B53" s="127" t="str">
        <x:v>dff0c3d931477898578febeeca3d8b04.jpg</x:v>
      </x:c>
      <x:c r="C53" s="127" t="str">
        <x:v>da-nang-cau-rong-hoang-hon-01.jpg</x:v>
      </x:c>
      <x:c r="D53" s="127" t="str">
        <x:v>/image/tours/da-nang-cau-rong-hoang-hon-01.jpg</x:v>
      </x:c>
      <x:c r="E53" s="127" t="str">
        <x:v>da nang cau rong hoang hon 01</x:v>
      </x:c>
      <x:c r="F53" s="127" t="str">
        <x:v>tour/service/activity</x:v>
      </x:c>
      <x:c r="G53" s="127" t="str">
        <x:v>ready</x:v>
      </x:c>
    </x:row>
    <x:row r="54">
      <x:c r="A54" s="127" t="str">
        <x:v>tours</x:v>
      </x:c>
      <x:c r="B54" s="127" t="str">
        <x:v>edcbc5aef80bf606b24278d632790ad6.jpg</x:v>
      </x:c>
      <x:c r="C54" s="127" t="str">
        <x:v>hoi-an-lang-huong-thu-cong-01.jpg</x:v>
      </x:c>
      <x:c r="D54" s="127" t="str">
        <x:v>/image/tours/hoi-an-lang-huong-thu-cong-01.jpg</x:v>
      </x:c>
      <x:c r="E54" s="127" t="str">
        <x:v>hoi an lang huong thu cong 01</x:v>
      </x:c>
      <x:c r="F54" s="127" t="str">
        <x:v>tour/service/activity</x:v>
      </x:c>
      <x:c r="G54" s="127" t="str">
        <x:v>ready</x:v>
      </x:c>
    </x:row>
    <x:row r="55">
      <x:c r="A55" s="127" t="str">
        <x:v>tours</x:v>
      </x:c>
      <x:c r="B55" s="127" t="str">
        <x:v>eecb9063547b2fb5bf6404151566fb0e.jpg</x:v>
      </x:c>
      <x:c r="C55" s="127" t="str">
        <x:v>hoi-an-song-hoai-hoa-dang-01.jpg</x:v>
      </x:c>
      <x:c r="D55" s="127" t="str">
        <x:v>/image/tours/hoi-an-song-hoai-hoa-dang-01.jpg</x:v>
      </x:c>
      <x:c r="E55" s="127" t="str">
        <x:v>hoi an song hoai hoa dang 01</x:v>
      </x:c>
      <x:c r="F55" s="127" t="str">
        <x:v>tour/service/activity</x:v>
      </x:c>
      <x:c r="G55" s="127" t="str">
        <x:v>ready</x:v>
      </x:c>
    </x:row>
    <x:row r="56">
      <x:c r="A56" s="127" t="str">
        <x:v>tours</x:v>
      </x:c>
      <x:c r="B56" s="127" t="str">
        <x:v>f13bb5fda57c4cf5ee1666240856adb0.jpg</x:v>
      </x:c>
      <x:c r="C56" s="127" t="str">
        <x:v>hoi-an-song-hoai-ban-dem-01.jpg</x:v>
      </x:c>
      <x:c r="D56" s="127" t="str">
        <x:v>/image/tours/hoi-an-song-hoai-ban-dem-01.jpg</x:v>
      </x:c>
      <x:c r="E56" s="127" t="str">
        <x:v>hoi an song hoai ban dem 01</x:v>
      </x:c>
      <x:c r="F56" s="127" t="str">
        <x:v>tour/service/activity</x:v>
      </x:c>
      <x:c r="G56" s="127" t="str">
        <x:v>ready</x:v>
      </x:c>
    </x:row>
    <x:row r="57">
      <x:c r="A57" s="127" t="str">
        <x:v>tours</x:v>
      </x:c>
      <x:c r="B57" s="127" t="str">
        <x:v>f2fd9389c6e17f1c37993d6fb43aacea.jpg</x:v>
      </x:c>
      <x:c r="C57" s="127" t="str">
        <x:v>hoi-an-chua-cau-01.jpg</x:v>
      </x:c>
      <x:c r="D57" s="127" t="str">
        <x:v>/image/tours/hoi-an-chua-cau-01.jpg</x:v>
      </x:c>
      <x:c r="E57" s="127" t="str">
        <x:v>hoi an chua cau 01</x:v>
      </x:c>
      <x:c r="F57" s="127" t="str">
        <x:v>tour/service/activity</x:v>
      </x:c>
      <x:c r="G57" s="127" t="str">
        <x:v>ready</x:v>
      </x:c>
    </x:row>
    <x:row r="58">
      <x:c r="A58" s="127" t="str">
        <x:v>tours</x:v>
      </x:c>
      <x:c r="B58" s="127" t="str">
        <x:v>f64c1c0597218ed879baa193fedd9b3d.jpg</x:v>
      </x:c>
      <x:c r="C58" s="127" t="str">
        <x:v>da-nang-poster-du-lich-01.jpg</x:v>
      </x:c>
      <x:c r="D58" s="127" t="str">
        <x:v>/image/tours/da-nang-poster-du-lich-01.jpg</x:v>
      </x:c>
      <x:c r="E58" s="127" t="str">
        <x:v>da nang poster du lich 01</x:v>
      </x:c>
      <x:c r="F58" s="127" t="str">
        <x:v>tour/service/activity</x:v>
      </x:c>
      <x:c r="G58" s="127" t="str">
        <x:v>ready</x:v>
      </x:c>
    </x:row>
  </x:sheetData>
  <x:pageMargins left="0.7" right="0.7" top="0.75" bottom="0.75" header="0.3" footer="0.3"/>
  <x:tableParts count="1">
    <x:tablePart xmlns:r="http://schemas.openxmlformats.org/officeDocument/2006/relationships" r:id="R1bd29c59bed6455d"/>
  </x:tableParts>
</x:worksheet>
</file>

<file path=xl/worksheets/sheet27.xml><?xml version="1.0" encoding="utf-8"?>
<x:worksheet xmlns:x="http://schemas.openxmlformats.org/spreadsheetml/2006/main">
  <x:sheetFormatPr defaultRowHeight="15"/>
  <x:cols>
    <x:col min="1" max="1" width="24" hidden="0" customWidth="1"/>
    <x:col min="2" max="2" width="48" hidden="0" customWidth="1"/>
    <x:col min="3" max="3" width="20" hidden="0" customWidth="1"/>
    <x:col min="4" max="4" width="55" hidden="0" customWidth="1"/>
  </x:cols>
  <x:sheetData>
    <x:row r="1">
      <x:c r="A1" s="207" t="str">
        <x:v>asset_key</x:v>
      </x:c>
      <x:c r="B1" s="207" t="str">
        <x:v>local_path</x:v>
      </x:c>
      <x:c r="C1" s="207" t="str">
        <x:v>asset_type</x:v>
      </x:c>
      <x:c r="D1" s="207" t="str">
        <x:v>description</x:v>
      </x:c>
    </x:row>
    <x:row r="2">
      <x:c r="A2" s="127" t="str">
        <x:v>greensteps_logo</x:v>
      </x:c>
      <x:c r="B2" s="127" t="str">
        <x:v>/image/greensteps/greensteps-logo.png</x:v>
      </x:c>
      <x:c r="C2" s="127" t="str">
        <x:v>brand_logo</x:v>
      </x:c>
      <x:c r="D2" s="127" t="str">
        <x:v>Logo GreenSteps sử dụng trong header, login hoặc tài liệu giao diện.</x:v>
      </x:c>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18" hidden="0" customWidth="1"/>
    <x:col min="2" max="2" width="19" hidden="0" customWidth="1"/>
    <x:col min="3" max="3" width="38" hidden="0" customWidth="1"/>
    <x:col min="4" max="4" width="31" hidden="0" customWidth="1"/>
    <x:col min="5" max="5" width="48" hidden="0" customWidth="1"/>
    <x:col min="6" max="6" width="37" hidden="0" customWidth="1"/>
  </x:cols>
  <x:sheetData>
    <x:row r="1">
      <x:c r="A1" s="217" t="str">
        <x:v>HƯỚNG DẪN LƯU ĐƯỜNG DẪN ẢNH VÀO CƠ SỞ DỮ LIỆU</x:v>
      </x:c>
      <x:c r="B1" s="217"/>
      <x:c r="C1" s="217"/>
      <x:c r="D1" s="217"/>
      <x:c r="E1" s="217"/>
      <x:c r="F1" s="217"/>
    </x:row>
    <x:row r="3">
      <x:c r="A3" s="221" t="str">
        <x:v>Bảng/Sheet</x:v>
      </x:c>
      <x:c r="B3" s="221" t="str">
        <x:v>Trường CSDL</x:v>
      </x:c>
      <x:c r="C3" s="221" t="str">
        <x:v>Thư mục vật lý</x:v>
      </x:c>
      <x:c r="D3" s="221" t="str">
        <x:v>Giá trị lưu vào CSDL</x:v>
      </x:c>
      <x:c r="E3" s="221" t="str">
        <x:v>Ví dụ</x:v>
      </x:c>
      <x:c r="F3" s="221" t="str">
        <x:v>Quy tắc</x:v>
      </x:c>
    </x:row>
    <x:row r="4">
      <x:c r="A4" s="127" t="str">
        <x:v>Schedule</x:v>
      </x:c>
      <x:c r="B4" s="127" t="str">
        <x:v>image_url</x:v>
      </x:c>
      <x:c r="C4" s="127" t="str">
        <x:v>frontend/public/image/tours/</x:v>
      </x:c>
      <x:c r="D4" s="127" t="str">
        <x:v>/image/tours/&lt;filename&gt;</x:v>
      </x:c>
      <x:c r="E4" s="127" t="str">
        <x:v>/image/tours/phu-yen-bai-xep-checkin-01.jpg</x:v>
      </x:c>
      <x:c r="F4" s="127" t="str">
        <x:v>Ảnh cover của tour.</x:v>
      </x:c>
    </x:row>
    <x:row r="5">
      <x:c r="A5" s="127" t="str">
        <x:v>TourImage</x:v>
      </x:c>
      <x:c r="B5" s="127" t="str">
        <x:v>image_url</x:v>
      </x:c>
      <x:c r="C5" s="127" t="str">
        <x:v>frontend/public/image/tours/</x:v>
      </x:c>
      <x:c r="D5" s="127" t="str">
        <x:v>/image/tours/&lt;filename&gt;</x:v>
      </x:c>
      <x:c r="E5" s="127" t="str">
        <x:v>/image/tours/da-lat-ho-xuan-huong-01.jpg</x:v>
      </x:c>
      <x:c r="F5" s="127" t="str">
        <x:v>Mỗi tour có 1 cover và 9 gallery; insert đủ 10 dòng/tour.</x:v>
      </x:c>
    </x:row>
    <x:row r="6">
      <x:c r="A6" s="127" t="str">
        <x:v>ScheduleActivity</x:v>
      </x:c>
      <x:c r="B6" s="127" t="str">
        <x:v>image_url</x:v>
      </x:c>
      <x:c r="C6" s="127" t="str">
        <x:v>frontend/public/image/tours/</x:v>
      </x:c>
      <x:c r="D6" s="127" t="str">
        <x:v>/image/tours/&lt;filename&gt;</x:v>
      </x:c>
      <x:c r="E6" s="127" t="str">
        <x:v>/image/tours/hoi-an-lang-rau-tra-que-01.jpg</x:v>
      </x:c>
      <x:c r="F6" s="127" t="str">
        <x:v>Ảnh minh họa từng hoạt động.</x:v>
      </x:c>
    </x:row>
    <x:row r="7">
      <x:c r="A7" s="127" t="str">
        <x:v>GreenService</x:v>
      </x:c>
      <x:c r="B7" s="127" t="str">
        <x:v>image_url</x:v>
      </x:c>
      <x:c r="C7" s="127" t="str">
        <x:v>frontend/public/image/tours/</x:v>
      </x:c>
      <x:c r="D7" s="127" t="str">
        <x:v>/image/tours/&lt;filename&gt;</x:v>
      </x:c>
      <x:c r="E7" s="127" t="str">
        <x:v>/image/tours/da-nang-cau-vang-ba-na-hills-01.jpg</x:v>
      </x:c>
      <x:c r="F7" s="127" t="str">
        <x:v>Ảnh dịch vụ xanh.</x:v>
      </x:c>
    </x:row>
    <x:row r="8">
      <x:c r="A8" s="127" t="str">
        <x:v>Provider</x:v>
      </x:c>
      <x:c r="B8" s="127" t="str">
        <x:v>image_url</x:v>
      </x:c>
      <x:c r="C8" s="127" t="str">
        <x:v>frontend/public/image/tours/</x:v>
      </x:c>
      <x:c r="D8" s="127" t="str">
        <x:v>/image/tours/&lt;filename&gt;</x:v>
      </x:c>
      <x:c r="E8" s="127" t="str">
        <x:v>/image/tours/da-lat-toan-canh-thanh-pho-01.jpg</x:v>
      </x:c>
      <x:c r="F8" s="127" t="str">
        <x:v>Ảnh đại diện nhà cung cấp.</x:v>
      </x:c>
    </x:row>
    <x:row r="9">
      <x:c r="A9" s="127" t="str">
        <x:v>User</x:v>
      </x:c>
      <x:c r="B9" s="127" t="str">
        <x:v>avatar_url</x:v>
      </x:c>
      <x:c r="C9" s="127" t="str">
        <x:v>frontend/public/image/greensteps/</x:v>
      </x:c>
      <x:c r="D9" s="127" t="str">
        <x:v>/image/greensteps/&lt;filename&gt;</x:v>
      </x:c>
      <x:c r="E9" s="127" t="str">
        <x:v>/image/greensteps/avatar-linh-ngo.jpg</x:v>
      </x:c>
      <x:c r="F9" s="127" t="str">
        <x:v>Ảnh đại diện người dùng.</x:v>
      </x:c>
    </x:row>
    <x:row r="10">
      <x:c r="A10" s="127" t="str">
        <x:v>SystemAssets</x:v>
      </x:c>
      <x:c r="B10" s="127" t="str">
        <x:v>local_path</x:v>
      </x:c>
      <x:c r="C10" s="127" t="str">
        <x:v>frontend/public/image/greensteps/</x:v>
      </x:c>
      <x:c r="D10" s="127" t="str">
        <x:v>/image/greensteps/&lt;filename&gt;</x:v>
      </x:c>
      <x:c r="E10" s="127" t="str">
        <x:v>/image/greensteps/greensteps-logo.png</x:v>
      </x:c>
      <x:c r="F10" s="127" t="str">
        <x:v>Logo/tài nguyên thương hiệu.</x:v>
      </x:c>
    </x:row>
    <x:row r="13">
      <x:c r="A13" s="224" t="str">
        <x:v>QUY TẮC BẮT BUỘC KHI IMPORT</x:v>
      </x:c>
      <x:c r="B13" s="224"/>
      <x:c r="C13" s="224"/>
      <x:c r="D13" s="224"/>
      <x:c r="E13" s="224"/>
      <x:c r="F13" s="224"/>
    </x:row>
    <x:row r="15">
      <x:c r="A15" s="221" t="str">
        <x:v>STT</x:v>
      </x:c>
      <x:c r="B15" s="221" t="str">
        <x:v>Hành động</x:v>
      </x:c>
      <x:c r="C15" s="221" t="str">
        <x:v>Giá trị</x:v>
      </x:c>
      <x:c r="D15" s="221" t="str">
        <x:v>Giải thích</x:v>
      </x:c>
    </x:row>
    <x:row r="16">
      <x:c r="A16" s="127" t="str">
        <x:v>1</x:v>
      </x:c>
      <x:c r="B16" s="127" t="str">
        <x:v>Không lưu</x:v>
      </x:c>
      <x:c r="C16" s="127" t="str">
        <x:v>C:\Users\...\frontend\public\image\tours\...</x:v>
      </x:c>
      <x:c r="D16" s="127" t="str">
        <x:v>Đây là đường dẫn máy cá nhân, máy khác không truy cập được.</x:v>
      </x:c>
    </x:row>
    <x:row r="17">
      <x:c r="A17" s="127" t="str">
        <x:v>2</x:v>
      </x:c>
      <x:c r="B17" s="127" t="str">
        <x:v>Không lưu</x:v>
      </x:c>
      <x:c r="C17" s="127" t="str">
        <x:v>frontend/public/image/tours/...</x:v>
      </x:c>
      <x:c r="D17" s="127" t="str">
        <x:v>Đây là đường dẫn vật lý trong source code, không phải URL trình duyệt.</x:v>
      </x:c>
    </x:row>
    <x:row r="18">
      <x:c r="A18" s="127" t="str">
        <x:v>3</x:v>
      </x:c>
      <x:c r="B18" s="127" t="str">
        <x:v>Phải lưu</x:v>
      </x:c>
      <x:c r="C18" s="127" t="str">
        <x:v>/image/tours/...</x:v>
      </x:c>
      <x:c r="D18" s="127" t="str">
        <x:v>React/Vite phục vụ file trong public từ đường dẫn gốc /.</x:v>
      </x:c>
    </x:row>
    <x:row r="19">
      <x:c r="A19" s="127" t="str">
        <x:v>4</x:v>
      </x:c>
      <x:c r="B19" s="127" t="str">
        <x:v>Phải lưu</x:v>
      </x:c>
      <x:c r="C19" s="127" t="str">
        <x:v>/image/greensteps/...</x:v>
      </x:c>
      <x:c r="D19" s="127" t="str">
        <x:v>Dùng cho logo và avatar.</x:v>
      </x:c>
    </x:row>
    <x:row r="20">
      <x:c r="A20" s="127" t="str">
        <x:v>5</x:v>
      </x:c>
      <x:c r="B20" s="127" t="str">
        <x:v>Không insert</x:v>
      </x:c>
      <x:c r="C20" s="127" t="str">
        <x:v>original_image_url</x:v>
      </x:c>
      <x:c r="D20" s="127" t="str">
        <x:v>Chỉ dùng để đối chiếu URL cũ.</x:v>
      </x:c>
    </x:row>
    <x:row r="21">
      <x:c r="A21" s="127" t="str">
        <x:v>6</x:v>
      </x:c>
      <x:c r="B21" s="127" t="str">
        <x:v>Không insert</x:v>
      </x:c>
      <x:c r="C21" s="127" t="str">
        <x:v>image_formula</x:v>
      </x:c>
      <x:c r="D21" s="127" t="str">
        <x:v>Chỉ từng dùng để xem ảnh trong bảng tính; hiện để trống.</x:v>
      </x:c>
    </x:row>
  </x:sheetData>
  <x:mergeCells>
    <x:mergeCell ref="A1:F1"/>
    <x:mergeCell ref="A13:F13"/>
  </x:mergeCells>
  <x:pageMargins left="0.7" right="0.7" top="0.75" bottom="0.75" header="0.3" footer="0.3"/>
</x:worksheet>
</file>